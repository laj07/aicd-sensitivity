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Inputs" sheetId="2" state="visible" r:id="rId4"/>
    <sheet name="Model" sheetId="3" state="visible" r:id="rId5"/>
    <sheet name="Reconciliation" sheetId="4" state="visible" r:id="rId6"/>
    <sheet name="Scenarios" sheetId="5" state="visible" r:id="rId7"/>
    <sheet name="Sensitivity" sheetId="6" state="visible" r:id="rId8"/>
    <sheet name="Regression" sheetId="7" state="visible" r:id="rId9"/>
  </sheets>
  <definedNames>
    <definedName function="false" hidden="false" name="base_2013" vbProcedure="false">Inputs!$C$2</definedName>
    <definedName function="false" hidden="false" name="cpi_2013_24" vbProcedure="false">Inputs!$C$13</definedName>
    <definedName function="false" hidden="false" name="cw_salary" vbProcedure="false">Inputs!$C$18</definedName>
    <definedName function="false" hidden="false" name="cw_workers" vbProcedure="false">Inputs!$C$16</definedName>
    <definedName function="false" hidden="false" name="cx_defined" vbProcedure="false">Inputs!$C$10</definedName>
    <definedName function="false" hidden="false" name="cx_instruments" vbProcedure="false">Inputs!$C$11</definedName>
    <definedName function="false" hidden="false" name="cx_interconnect" vbProcedure="false">Inputs!$C$12</definedName>
    <definedName function="false" hidden="false" name="cx_notional" vbProcedure="false">Inputs!$C$7</definedName>
    <definedName function="false" hidden="false" name="cx_penalty" vbProcedure="false">Inputs!$C$9</definedName>
    <definedName function="false" hidden="false" name="cx_structural" vbProcedure="false">Inputs!$C$8</definedName>
    <definedName function="false" hidden="false" name="d_base_proj" vbProcedure="false">Model!$B$2</definedName>
    <definedName function="false" hidden="false" name="d_cpi_mult" vbProcedure="false">Model!$B$5</definedName>
    <definedName function="false" hidden="false" name="d_cx_mult" vbProcedure="false">Model!$B$4</definedName>
    <definedName function="false" hidden="false" name="d_role_mult" vbProcedure="false">Model!$B$6</definedName>
    <definedName function="false" hidden="false" name="d_vol_mult" vbProcedure="false">Model!$B$3</definedName>
    <definedName function="false" hidden="false" name="ea_div" vbProcedure="false">Inputs!$C$36</definedName>
    <definedName function="false" hidden="false" name="ea_fees" vbProcedure="false">Inputs!$C$35</definedName>
    <definedName function="false" hidden="false" name="ea_share" vbProcedure="false">Inputs!$C$37</definedName>
    <definedName function="false" hidden="false" name="el_rev" vbProcedure="false">Inputs!$C$33</definedName>
    <definedName function="false" hidden="false" name="el_share" vbProcedure="false">Inputs!$C$34</definedName>
    <definedName function="false" hidden="false" name="el_workers" vbProcedure="false">Inputs!$C$32</definedName>
    <definedName function="false" hidden="false" name="emp_growth" vbProcedure="false">Inputs!$C$48</definedName>
    <definedName function="false" hidden="false" name="fte" vbProcedure="false">Inputs!$C$17</definedName>
    <definedName function="false" hidden="false" name="gdp_2024" vbProcedure="false">Inputs!$C$4</definedName>
    <definedName function="false" hidden="false" name="gdp_share_2013" vbProcedure="false">Inputs!$C$3</definedName>
    <definedName function="false" hidden="false" name="gsp_total" vbProcedure="false">Inputs!$C$39</definedName>
    <definedName function="false" hidden="false" name="headline" vbProcedure="false">Model!$B$22</definedName>
    <definedName function="false" hidden="false" name="headline_printed_avg" vbProcedure="false">Model!$B$24</definedName>
    <definedName function="false" hidden="false" name="ia_salary" vbProcedure="false">Inputs!$C$24</definedName>
    <definedName function="false" hidden="false" name="ia_share" vbProcedure="false">Inputs!$C$25</definedName>
    <definedName function="false" hidden="false" name="ia_workers" vbProcedure="false">Inputs!$C$23</definedName>
    <definedName function="false" hidden="false" name="il_salary" vbProcedure="false">Inputs!$C$21</definedName>
    <definedName function="false" hidden="false" name="il_share" vbProcedure="false">Inputs!$C$22</definedName>
    <definedName function="false" hidden="false" name="il_workers" vbProcedure="false">Inputs!$C$20</definedName>
    <definedName function="false" hidden="false" name="it_share" vbProcedure="false">Inputs!$C$31</definedName>
    <definedName function="false" hidden="false" name="it_spend" vbProcedure="false">Inputs!$C$30</definedName>
    <definedName function="false" hidden="false" name="m1" vbProcedure="false">Model!$B$9</definedName>
    <definedName function="false" hidden="false" name="m2" vbProcedure="false">Model!$B$13</definedName>
    <definedName function="false" hidden="false" name="m3" vbProcedure="false">Model!$B$18</definedName>
    <definedName function="false" hidden="false" name="m3_fixed" vbProcedure="false">Model!$B$19</definedName>
    <definedName function="false" hidden="false" name="m3_state" vbProcedure="false">Model!$B$17</definedName>
    <definedName function="false" hidden="false" name="m3_total" vbProcedure="false">Model!$B$16</definedName>
    <definedName function="false" hidden="false" name="oh_mult" vbProcedure="false">Inputs!$C$19</definedName>
    <definedName function="false" hidden="false" name="os_excl" vbProcedure="false">Inputs!$C$27</definedName>
    <definedName function="false" hidden="false" name="os_hours" vbProcedure="false">Inputs!$C$26</definedName>
    <definedName function="false" hidden="false" name="os_wage" vbProcedure="false">Inputs!$C$29</definedName>
    <definedName function="false" hidden="false" name="os_workers" vbProcedure="false">Inputs!$C$28</definedName>
    <definedName function="false" hidden="false" name="pages_2013" vbProcedure="false">Inputs!$C$5</definedName>
    <definedName function="false" hidden="false" name="pages_2024" vbProcedure="false">Inputs!$C$6</definedName>
    <definedName function="false" hidden="false" name="printed_headline" vbProcedure="false">Inputs!$C$43</definedName>
    <definedName function="false" hidden="false" name="printed_m1" vbProcedure="false">Inputs!$C$40</definedName>
    <definedName function="false" hidden="false" name="printed_m2" vbProcedure="false">Inputs!$C$41</definedName>
    <definedName function="false" hidden="false" name="printed_m3" vbProcedure="false">Inputs!$C$42</definedName>
    <definedName function="false" hidden="false" name="reg_coef" vbProcedure="false">Inputs!$C$44</definedName>
    <definedName function="false" hidden="false" name="reg_effect_per_0p1pp" vbProcedure="false">Inputs!$C$46</definedName>
    <definedName function="false" hidden="false" name="reg_foregone" vbProcedure="false">Inputs!$C$47</definedName>
    <definedName function="false" hidden="false" name="reg_p" vbProcedure="false">Inputs!$C$45</definedName>
    <definedName function="false" hidden="false" name="roles_2013" vbProcedure="false">Inputs!$C$14</definedName>
    <definedName function="false" hidden="false" name="roles_2024" vbProcedure="false">Inputs!$C$15</definedName>
    <definedName function="false" hidden="false" name="state_share_gsp" vbProcedure="false">Inputs!$C$38</definedName>
    <definedName function="false" hidden="false" name="swing" vbProcedure="false">Sensitivity!$B$1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<sst xmlns="http://schemas.openxmlformats.org/spreadsheetml/2006/main" count="469" uniqueCount="330">
  <si>
    <t xml:space="preserve">Sensitivity model: AICD/Mandala estimate of Commonwealth compliance cost</t>
  </si>
  <si>
    <t xml:space="preserve">Source: '$160 billion and counting: The cost of Commonwealth regulatory complexity' (Mandala for the AICD, Nov 2025). Page numbers on the Inputs sheet are the slide footers in the published PDF.</t>
  </si>
  <si>
    <t xml:space="preserve">This workbook re-runs the report's three methods with live formulas so the effect of each assumption can be seen. It is an independent analysis of published figures. It is not Mandala's or the AICD's model and is not an estimate of the true cost.</t>
  </si>
  <si>
    <t xml:space="preserve">Sheets</t>
  </si>
  <si>
    <t xml:space="preserve">Inputs: every number taken from the report, with page and status. Blue font = input. Change a value and everything updates.</t>
  </si>
  <si>
    <t xml:space="preserve">Model: the three methods and the headline, next to what the report prints.</t>
  </si>
  <si>
    <t xml:space="preserve">Reconciliation: the bottom-up (Method 3) line items recomputed from their stated formulas against the printed values.</t>
  </si>
  <si>
    <t xml:space="preserve">Scenarios: the headline under named alternative modelling choices.</t>
  </si>
  <si>
    <t xml:space="preserve">Sensitivity: each input moved 20% down and up, with the effect on the headline.</t>
  </si>
  <si>
    <t xml:space="preserve">Regression: what the printed p-value implies about the uncertainty around the investment result.</t>
  </si>
  <si>
    <t xml:space="preserve">Status column on Inputs</t>
  </si>
  <si>
    <t xml:space="preserve">printed = a number printed on the slide.  interpreted = printed with an evident typo corrected (see note).  assumption = not from the report; verify before relying on it.</t>
  </si>
  <si>
    <t xml:space="preserve">Cells shaded yellow need your attention (typos or unreconciled figures in the source).</t>
  </si>
  <si>
    <t xml:space="preserve">id</t>
  </si>
  <si>
    <t xml:space="preserve">Input</t>
  </si>
  <si>
    <t xml:space="preserve">Value</t>
  </si>
  <si>
    <t xml:space="preserve">Unit</t>
  </si>
  <si>
    <t xml:space="preserve">Report page</t>
  </si>
  <si>
    <t xml:space="preserve">Status</t>
  </si>
  <si>
    <t xml:space="preserve">Note</t>
  </si>
  <si>
    <t xml:space="preserve">base_2013</t>
  </si>
  <si>
    <t xml:space="preserve">2013 Commonwealth compliance cost (DPMC assessment)</t>
  </si>
  <si>
    <t xml:space="preserve">AUD bn</t>
  </si>
  <si>
    <t xml:space="preserve">27</t>
  </si>
  <si>
    <t xml:space="preserve">printed</t>
  </si>
  <si>
    <t xml:space="preserve">Printed '$65B (4.2% of GDP)'. Both Method 1 and Method 2 start from this number.</t>
  </si>
  <si>
    <t xml:space="preserve">gdp_share_2013</t>
  </si>
  <si>
    <t xml:space="preserve">2013 cost as share of GDP</t>
  </si>
  <si>
    <t xml:space="preserve">fraction</t>
  </si>
  <si>
    <t xml:space="preserve">Printed 4.2%</t>
  </si>
  <si>
    <t xml:space="preserve">gdp_2024</t>
  </si>
  <si>
    <t xml:space="preserve">2024 GDP</t>
  </si>
  <si>
    <t xml:space="preserve">39</t>
  </si>
  <si>
    <t xml:space="preserve">interpreted</t>
  </si>
  <si>
    <t xml:space="preserve">Printed '$2.7B GDP in 2024' - a typo for $2.7 trillion (4.2% x 2.7T = 113.4B matches the printed $113B)</t>
  </si>
  <si>
    <t xml:space="preserve">pages_2013</t>
  </si>
  <si>
    <t xml:space="preserve">Pages of Commonwealth Acts and instruments 2013</t>
  </si>
  <si>
    <t xml:space="preserve">pages</t>
  </si>
  <si>
    <t xml:space="preserve">Printed 160 000 pages</t>
  </si>
  <si>
    <t xml:space="preserve">pages_2024</t>
  </si>
  <si>
    <t xml:space="preserve">Pages of Commonwealth Acts and instruments 2024</t>
  </si>
  <si>
    <t xml:space="preserve">Printed 199 000 pages (printed as '24% increase'; 199/160 = 1.244)</t>
  </si>
  <si>
    <t xml:space="preserve">cx_notional</t>
  </si>
  <si>
    <t xml:space="preserve">Complexity metric: notional amendments</t>
  </si>
  <si>
    <t xml:space="preserve">fraction change</t>
  </si>
  <si>
    <t xml:space="preserve">Printed +141%</t>
  </si>
  <si>
    <t xml:space="preserve">cx_structural</t>
  </si>
  <si>
    <t xml:space="preserve">Complexity metric: structural elements</t>
  </si>
  <si>
    <t xml:space="preserve">Printed +40%</t>
  </si>
  <si>
    <t xml:space="preserve">cx_penalty</t>
  </si>
  <si>
    <t xml:space="preserve">Complexity metric: penalty provisions</t>
  </si>
  <si>
    <t xml:space="preserve">Printed +23%</t>
  </si>
  <si>
    <t xml:space="preserve">cx_defined</t>
  </si>
  <si>
    <t xml:space="preserve">Complexity metric: defined terms</t>
  </si>
  <si>
    <t xml:space="preserve">Printed +22%</t>
  </si>
  <si>
    <t xml:space="preserve">cx_instruments</t>
  </si>
  <si>
    <t xml:space="preserve">Complexity metric: legislative instruments share</t>
  </si>
  <si>
    <t xml:space="preserve">Printed +7%</t>
  </si>
  <si>
    <t xml:space="preserve">cx_interconnect</t>
  </si>
  <si>
    <t xml:space="preserve">Complexity metric: interconnectedness</t>
  </si>
  <si>
    <t xml:space="preserve">Printed -23%</t>
  </si>
  <si>
    <t xml:space="preserve">cpi_2013_24</t>
  </si>
  <si>
    <t xml:space="preserve">CPI increase 2013 to 2024</t>
  </si>
  <si>
    <t xml:space="preserve">Printed 35%</t>
  </si>
  <si>
    <t xml:space="preserve">roles_2013</t>
  </si>
  <si>
    <t xml:space="preserve">Compliance roles 2013</t>
  </si>
  <si>
    <t xml:space="preserve">roles</t>
  </si>
  <si>
    <t xml:space="preserve">Printed 30 000</t>
  </si>
  <si>
    <t xml:space="preserve">roles_2024</t>
  </si>
  <si>
    <t xml:space="preserve">Compliance roles 2024</t>
  </si>
  <si>
    <t xml:space="preserve">Printed 52 000 (printed as '74% increase'; 52/30 = +73.3%)</t>
  </si>
  <si>
    <t xml:space="preserve">cw_workers</t>
  </si>
  <si>
    <t xml:space="preserve">Compliance workers 2024</t>
  </si>
  <si>
    <t xml:space="preserve">workers</t>
  </si>
  <si>
    <t xml:space="preserve">40</t>
  </si>
  <si>
    <t xml:space="preserve">fte</t>
  </si>
  <si>
    <t xml:space="preserve">FTE share applied to headcounts</t>
  </si>
  <si>
    <t xml:space="preserve">Applied to compliance workers and legal/audit workers</t>
  </si>
  <si>
    <t xml:space="preserve">cw_salary</t>
  </si>
  <si>
    <t xml:space="preserve">Compliance worker salary</t>
  </si>
  <si>
    <t xml:space="preserve">AUD</t>
  </si>
  <si>
    <t xml:space="preserve">oh_mult</t>
  </si>
  <si>
    <t xml:space="preserve">Overhead multiplier (labour)</t>
  </si>
  <si>
    <t xml:space="preserve">x</t>
  </si>
  <si>
    <t xml:space="preserve">OIA (2024). Overhead = 75% of labour. Page 40 text says '75% of $8B'; 75% of the $5.7B salary base gives the printed $4B, so '$8B' looks like a typo.</t>
  </si>
  <si>
    <t xml:space="preserve">il_workers</t>
  </si>
  <si>
    <t xml:space="preserve">Internal legal workers outside professional services</t>
  </si>
  <si>
    <t xml:space="preserve">il_salary</t>
  </si>
  <si>
    <t xml:space="preserve">Internal legal blended salary</t>
  </si>
  <si>
    <t xml:space="preserve">il_share</t>
  </si>
  <si>
    <t xml:space="preserve">Internal legal share of time on compliance</t>
  </si>
  <si>
    <t xml:space="preserve">ia_workers</t>
  </si>
  <si>
    <t xml:space="preserve">Internal audit workers outside professional services</t>
  </si>
  <si>
    <t xml:space="preserve">ia_salary</t>
  </si>
  <si>
    <t xml:space="preserve">Internal audit blended salary</t>
  </si>
  <si>
    <t xml:space="preserve">ia_share</t>
  </si>
  <si>
    <t xml:space="preserve">Internal audit share of time on compliance</t>
  </si>
  <si>
    <t xml:space="preserve">os_hours</t>
  </si>
  <si>
    <t xml:space="preserve">Hours of compliance per worker per year</t>
  </si>
  <si>
    <t xml:space="preserve">hours</t>
  </si>
  <si>
    <t xml:space="preserve">Printed 'Estimated 87 hours' = (9.3 hours per small business per week x 52 weeks x 925,758 small businesses) / 5,164,600 small-business employees = 86.7. The single biggest driver of Method 3.</t>
  </si>
  <si>
    <t xml:space="preserve">os_excl</t>
  </si>
  <si>
    <t xml:space="preserve">Compliance/legal/audit hours already counted elsewhere and excluded</t>
  </si>
  <si>
    <t xml:space="preserve">Printed 'Excludes 96,000,000 compliance, legal, audit hours'. Subtracted from total hours before applying the wage.</t>
  </si>
  <si>
    <t xml:space="preserve">os_workers</t>
  </si>
  <si>
    <t xml:space="preserve">Total workers</t>
  </si>
  <si>
    <t xml:space="preserve">os_wage</t>
  </si>
  <si>
    <t xml:space="preserve">Average hourly wage</t>
  </si>
  <si>
    <t xml:space="preserve">AUD per hour</t>
  </si>
  <si>
    <t xml:space="preserve">it_spend</t>
  </si>
  <si>
    <t xml:space="preserve">Total IT spend</t>
  </si>
  <si>
    <t xml:space="preserve">Gartner 2024 per the report's source column</t>
  </si>
  <si>
    <t xml:space="preserve">it_share</t>
  </si>
  <si>
    <t xml:space="preserve">Share of IT spend attributed to compliance</t>
  </si>
  <si>
    <t xml:space="preserve">Printed 30%</t>
  </si>
  <si>
    <t xml:space="preserve">el_workers</t>
  </si>
  <si>
    <t xml:space="preserve">External legal workers in professional services</t>
  </si>
  <si>
    <t xml:space="preserve">el_rev</t>
  </si>
  <si>
    <t xml:space="preserve">Revenue per FTE (external legal)</t>
  </si>
  <si>
    <t xml:space="preserve">el_share</t>
  </si>
  <si>
    <t xml:space="preserve">External legal share of time on compliance</t>
  </si>
  <si>
    <t xml:space="preserve">ea_fees</t>
  </si>
  <si>
    <t xml:space="preserve">Total audit fees</t>
  </si>
  <si>
    <t xml:space="preserve">Printed $823M</t>
  </si>
  <si>
    <t xml:space="preserve">ea_div</t>
  </si>
  <si>
    <t xml:space="preserve">Divisor applied to audit fees</t>
  </si>
  <si>
    <t xml:space="preserve">Printed 'total audit fees/78%'</t>
  </si>
  <si>
    <t xml:space="preserve">ea_share</t>
  </si>
  <si>
    <t xml:space="preserve">External audit share of time on compliance</t>
  </si>
  <si>
    <t xml:space="preserve">state_share_gsp</t>
  </si>
  <si>
    <t xml:space="preserve">State compliance cost as share of GSP</t>
  </si>
  <si>
    <t xml:space="preserve">Printed 1% of GSP</t>
  </si>
  <si>
    <t xml:space="preserve">gsp_total</t>
  </si>
  <si>
    <t xml:space="preserve">Total gross state product</t>
  </si>
  <si>
    <t xml:space="preserve">Printed '$2.7B total GSP'; same typo as GDP</t>
  </si>
  <si>
    <t xml:space="preserve">printed_m1</t>
  </si>
  <si>
    <t xml:space="preserve">Printed Method 1 result</t>
  </si>
  <si>
    <t xml:space="preserve">Chart label</t>
  </si>
  <si>
    <t xml:space="preserve">printed_m2</t>
  </si>
  <si>
    <t xml:space="preserve">Printed Method 2 result</t>
  </si>
  <si>
    <t xml:space="preserve">printed_m3</t>
  </si>
  <si>
    <t xml:space="preserve">Printed Method 3 result (Commonwealth)</t>
  </si>
  <si>
    <t xml:space="preserve">Printed '~$130B'</t>
  </si>
  <si>
    <t xml:space="preserve">printed_headline</t>
  </si>
  <si>
    <t xml:space="preserve">Printed headline</t>
  </si>
  <si>
    <t xml:space="preserve">Chart label on p.27; text rounds to $160B</t>
  </si>
  <si>
    <t xml:space="preserve">reg_coef</t>
  </si>
  <si>
    <t xml:space="preserve">Regression coefficient (compliance share on investment growth)</t>
  </si>
  <si>
    <t xml:space="preserve">per unit share</t>
  </si>
  <si>
    <t xml:space="preserve">42</t>
  </si>
  <si>
    <t xml:space="preserve">reg_p</t>
  </si>
  <si>
    <t xml:space="preserve">Regression p-value</t>
  </si>
  <si>
    <t xml:space="preserve">probability</t>
  </si>
  <si>
    <t xml:space="preserve">Marginally significant</t>
  </si>
  <si>
    <t xml:space="preserve">reg_effect_per_0p1pp</t>
  </si>
  <si>
    <t xml:space="preserve">Printed effect of +0.1pp compliance share on investment growth</t>
  </si>
  <si>
    <t xml:space="preserve">26</t>
  </si>
  <si>
    <t xml:space="preserve">Printed 2.3% reduction</t>
  </si>
  <si>
    <t xml:space="preserve">reg_foregone</t>
  </si>
  <si>
    <t xml:space="preserve">Printed foregone investment in 2025</t>
  </si>
  <si>
    <t xml:space="preserve">emp_growth</t>
  </si>
  <si>
    <t xml:space="preserve">Employment growth used to net out role growth</t>
  </si>
  <si>
    <t xml:space="preserve">21</t>
  </si>
  <si>
    <t xml:space="preserve">assumption</t>
  </si>
  <si>
    <t xml:space="preserve">Report p.21/22 cites 30% labour-market growth for 2010-24, not 2013-24. Verify against ABS Labour Force before relying on it.</t>
  </si>
  <si>
    <t xml:space="preserve">Derived drivers</t>
  </si>
  <si>
    <t xml:space="preserve">2013 estimate projected at 4.2% of 2024 GDP (AUD bn)</t>
  </si>
  <si>
    <t xml:space="preserve">Report prints $113B (p.39)</t>
  </si>
  <si>
    <t xml:space="preserve">Volume multiplier (pages 2024 / pages 2013)</t>
  </si>
  <si>
    <t xml:space="preserve">Report prints +24% (p.39)</t>
  </si>
  <si>
    <t xml:space="preserve">Complexity multiplier (1 + mean of six metrics)</t>
  </si>
  <si>
    <t xml:space="preserve">Report prints +35% (p.39)</t>
  </si>
  <si>
    <t xml:space="preserve">CPI multiplier</t>
  </si>
  <si>
    <t xml:space="preserve">Compliance-role multiplier (roles 2024 / roles 2013)</t>
  </si>
  <si>
    <t xml:space="preserve">Report prints +74% (p.39); 52/30 is +73.3%</t>
  </si>
  <si>
    <t xml:space="preserve">Method 1: volume and complexity</t>
  </si>
  <si>
    <t xml:space="preserve">Method 1 (AUD bn)</t>
  </si>
  <si>
    <t xml:space="preserve">Report prints ~$190B (p.39)</t>
  </si>
  <si>
    <t xml:space="preserve">Method 2: inflation and compliance roles</t>
  </si>
  <si>
    <t xml:space="preserve">2013 estimate adjusted for CPI (AUD bn)</t>
  </si>
  <si>
    <t xml:space="preserve">Report prints $88B (p.39)</t>
  </si>
  <si>
    <t xml:space="preserve">Method 2 (AUD bn)</t>
  </si>
  <si>
    <t xml:space="preserve">Report prints ~$150B (p.39)</t>
  </si>
  <si>
    <t xml:space="preserve">Method 3: bottom-up (see Reconciliation sheet for the line items)</t>
  </si>
  <si>
    <t xml:space="preserve">Sum of line items, all levels of government (AUD bn)</t>
  </si>
  <si>
    <t xml:space="preserve">Printed items sum to ~$161B</t>
  </si>
  <si>
    <t xml:space="preserve">State cost of compliance (AUD bn)</t>
  </si>
  <si>
    <t xml:space="preserve">Printed $27B</t>
  </si>
  <si>
    <t xml:space="preserve">Method 3, Commonwealth (AUD bn)</t>
  </si>
  <si>
    <t xml:space="preserve">Report prints ~$130B (p.40)</t>
  </si>
  <si>
    <t xml:space="preserve">Part of Method 3 that does not depend on 'other staff' or IT</t>
  </si>
  <si>
    <t xml:space="preserve">Used by the Scenarios sheet</t>
  </si>
  <si>
    <t xml:space="preserve">Headline</t>
  </si>
  <si>
    <t xml:space="preserve">Headline = average of the three (AUD bn)</t>
  </si>
  <si>
    <t xml:space="preserve">Report prints $159B on p.27 and ~$160B in text</t>
  </si>
  <si>
    <t xml:space="preserve">Printed headline (AUD bn)</t>
  </si>
  <si>
    <t xml:space="preserve">Average of the three printed, rounded figures (AUD bn)</t>
  </si>
  <si>
    <t xml:space="preserve">Does not equal the printed $159B</t>
  </si>
  <si>
    <t xml:space="preserve">A 25% cut at the recomputed headline (AUD bn)</t>
  </si>
  <si>
    <t xml:space="preserve">A 25% cut across the three printed methods: low / high (AUD bn)</t>
  </si>
  <si>
    <t xml:space="preserve">Low: 25% of the printed $130B (Method 3)</t>
  </si>
  <si>
    <t xml:space="preserve">High: 25% of the printed $190B (Method 1)</t>
  </si>
  <si>
    <t xml:space="preserve">Method 3 line item</t>
  </si>
  <si>
    <t xml:space="preserve">Formula as printed (p.40)</t>
  </si>
  <si>
    <t xml:space="preserve">Recomputed (AUD bn)</t>
  </si>
  <si>
    <t xml:space="preserve">Printed (AUD bn)</t>
  </si>
  <si>
    <t xml:space="preserve">Gap (AUD bn)</t>
  </si>
  <si>
    <t xml:space="preserve">Compliance workers labour</t>
  </si>
  <si>
    <t xml:space="preserve">52,000 x 75% FTE x $145,000</t>
  </si>
  <si>
    <t xml:space="preserve">Compliance workers overhead</t>
  </si>
  <si>
    <t xml:space="preserve">75% of labour (1.75 multiplier)</t>
  </si>
  <si>
    <t xml:space="preserve">Page 40 text says '75% of $8B'; 75% of the $5.7B salary base gives the printed $4B</t>
  </si>
  <si>
    <t xml:space="preserve">Internal legal labour</t>
  </si>
  <si>
    <t xml:space="preserve">40,000 x 75% x $141,000 x 23%</t>
  </si>
  <si>
    <t xml:space="preserve">Internal audit labour</t>
  </si>
  <si>
    <t xml:space="preserve">21,000 x 75% x $135,000 x 43%</t>
  </si>
  <si>
    <t xml:space="preserve">Internal legal and audit overhead</t>
  </si>
  <si>
    <t xml:space="preserve">75% of $2B</t>
  </si>
  <si>
    <t xml:space="preserve">Other staff labour</t>
  </si>
  <si>
    <t xml:space="preserve">(87 hours x 14.3M workers - 96M excluded hours) x $51/hour</t>
  </si>
  <si>
    <t xml:space="preserve">p.40 states that 96,000,000 compliance, legal and audit hours are excluded; without that step the line is about $63B</t>
  </si>
  <si>
    <t xml:space="preserve">Other staff overhead</t>
  </si>
  <si>
    <t xml:space="preserve">75% of other staff labour</t>
  </si>
  <si>
    <t xml:space="preserve">Follows the labour line</t>
  </si>
  <si>
    <t xml:space="preserve">IT systems</t>
  </si>
  <si>
    <t xml:space="preserve">$135B x 30%</t>
  </si>
  <si>
    <t xml:space="preserve">$40.5B before rounding</t>
  </si>
  <si>
    <t xml:space="preserve">External legal</t>
  </si>
  <si>
    <t xml:space="preserve">63,000 x 75% x $340,000 x 23%</t>
  </si>
  <si>
    <t xml:space="preserve">External audit</t>
  </si>
  <si>
    <t xml:space="preserve">($823M / 78%) x 43%</t>
  </si>
  <si>
    <t xml:space="preserve">Sum, all levels of government</t>
  </si>
  <si>
    <t xml:space="preserve">State cost of compliance</t>
  </si>
  <si>
    <t xml:space="preserve">Commonwealth (sum less state)</t>
  </si>
  <si>
    <t xml:space="preserve">Printed lines less state give about $134B; the report prints ~$130B (rounded).</t>
  </si>
  <si>
    <t xml:space="preserve">Report prints for Commonwealth</t>
  </si>
  <si>
    <t xml:space="preserve">Share of the all-levels total that is 'other staff' time (labour + overhead)</t>
  </si>
  <si>
    <t xml:space="preserve">Hours per worker at which Method 3 would equal the printed $130B</t>
  </si>
  <si>
    <t xml:space="preserve">Linear solve: other staff labour x overhead multiplier makes up the remainder.</t>
  </si>
  <si>
    <t xml:space="preserve">Driver / output</t>
  </si>
  <si>
    <t xml:space="preserve">Report's method, recomputed</t>
  </si>
  <si>
    <t xml:space="preserve">Complexity: leave out notional amendments</t>
  </si>
  <si>
    <t xml:space="preserve">Complexity: median of the six metrics</t>
  </si>
  <si>
    <t xml:space="preserve">Complexity: no adjustment</t>
  </si>
  <si>
    <t xml:space="preserve">Compliance roles: net of employment growth</t>
  </si>
  <si>
    <t xml:space="preserve">Other-staff hours: 60</t>
  </si>
  <si>
    <t xml:space="preserve">Other-staff hours: 40</t>
  </si>
  <si>
    <t xml:space="preserve">No overhead loading on other-staff time</t>
  </si>
  <si>
    <t xml:space="preserve">IT share of spend: 24% (report footnote)</t>
  </si>
  <si>
    <t xml:space="preserve">Combined: four of the lower alternatives</t>
  </si>
  <si>
    <t xml:space="preserve">Base projected at 4.2% of GDP</t>
  </si>
  <si>
    <t xml:space="preserve">Volume multiplier</t>
  </si>
  <si>
    <t xml:space="preserve">Complexity multiplier</t>
  </si>
  <si>
    <t xml:space="preserve">Compliance-role multiplier</t>
  </si>
  <si>
    <t xml:space="preserve">2013 baseline (AUD bn)</t>
  </si>
  <si>
    <t xml:space="preserve">Hours per worker</t>
  </si>
  <si>
    <t xml:space="preserve">Overhead multiplier on other-staff time</t>
  </si>
  <si>
    <t xml:space="preserve">IT share of spend</t>
  </si>
  <si>
    <t xml:space="preserve">Method 1</t>
  </si>
  <si>
    <t xml:space="preserve">Method 2</t>
  </si>
  <si>
    <t xml:space="preserve">Method 3</t>
  </si>
  <si>
    <t xml:space="preserve">Difference from printed $159B</t>
  </si>
  <si>
    <t xml:space="preserve">A 25% cut</t>
  </si>
  <si>
    <t xml:space="preserve">Yellow cells are the choices that differ from the report's. Hours 60/40 and zero overhead on other-staff time are analyst choices; the 24% IT share is the figure in the report's own footnote.</t>
  </si>
  <si>
    <t xml:space="preserve">Swing (fraction)</t>
  </si>
  <si>
    <t xml:space="preserve">Parameter</t>
  </si>
  <si>
    <t xml:space="preserve">Base</t>
  </si>
  <si>
    <t xml:space="preserve">2013 baseline (M1 and M2) -20%</t>
  </si>
  <si>
    <t xml:space="preserve">2013 baseline (M1 and M2) +20%</t>
  </si>
  <si>
    <t xml:space="preserve">Volume multiplier (M1) -20%</t>
  </si>
  <si>
    <t xml:space="preserve">Volume multiplier (M1) +20%</t>
  </si>
  <si>
    <t xml:space="preserve">Complexity multiplier (M1) -20%</t>
  </si>
  <si>
    <t xml:space="preserve">Complexity multiplier (M1) +20%</t>
  </si>
  <si>
    <t xml:space="preserve">CPI multiplier (M2) -20%</t>
  </si>
  <si>
    <t xml:space="preserve">CPI multiplier (M2) +20%</t>
  </si>
  <si>
    <t xml:space="preserve">Compliance-role multiplier (M2) -20%</t>
  </si>
  <si>
    <t xml:space="preserve">Compliance-role multiplier (M2) +20%</t>
  </si>
  <si>
    <t xml:space="preserve">Overhead multiplier (M3) -20%</t>
  </si>
  <si>
    <t xml:space="preserve">Overhead multiplier (M3) +20%</t>
  </si>
  <si>
    <t xml:space="preserve">Hours per worker (M3) -20%</t>
  </si>
  <si>
    <t xml:space="preserve">Hours per worker (M3) +20%</t>
  </si>
  <si>
    <t xml:space="preserve">Hourly wage (M3) -20%</t>
  </si>
  <si>
    <t xml:space="preserve">Hourly wage (M3) +20%</t>
  </si>
  <si>
    <t xml:space="preserve">Total workers (M3) -20%</t>
  </si>
  <si>
    <t xml:space="preserve">Total workers (M3) +20%</t>
  </si>
  <si>
    <t xml:space="preserve">IT compliance share (M3) -20%</t>
  </si>
  <si>
    <t xml:space="preserve">IT compliance share (M3) +20%</t>
  </si>
  <si>
    <t xml:space="preserve">IT spend (M3) -20%</t>
  </si>
  <si>
    <t xml:space="preserve">IT spend (M3) +20%</t>
  </si>
  <si>
    <t xml:space="preserve">State cost share (M3) -20%</t>
  </si>
  <si>
    <t xml:space="preserve">State cost share (M3) +20%</t>
  </si>
  <si>
    <t xml:space="preserve">Compliance workers (M3) -20%</t>
  </si>
  <si>
    <t xml:space="preserve">Compliance workers (M3) +20%</t>
  </si>
  <si>
    <t xml:space="preserve">vol_mult</t>
  </si>
  <si>
    <t xml:space="preserve">cx_mult</t>
  </si>
  <si>
    <t xml:space="preserve">cpi_mult</t>
  </si>
  <si>
    <t xml:space="preserve">role_mult</t>
  </si>
  <si>
    <t xml:space="preserve">Driver</t>
  </si>
  <si>
    <t xml:space="preserve">Headline at -20%</t>
  </si>
  <si>
    <t xml:space="preserve">Headline at +20%</t>
  </si>
  <si>
    <t xml:space="preserve">Swing (AUD bn)</t>
  </si>
  <si>
    <t xml:space="preserve">Elasticity</t>
  </si>
  <si>
    <t xml:space="preserve">2013 baseline (M1 and M2)</t>
  </si>
  <si>
    <t xml:space="preserve">Volume multiplier (M1)</t>
  </si>
  <si>
    <t xml:space="preserve">Complexity multiplier (M1)</t>
  </si>
  <si>
    <t xml:space="preserve">CPI multiplier (M2)</t>
  </si>
  <si>
    <t xml:space="preserve">Compliance-role multiplier (M2)</t>
  </si>
  <si>
    <t xml:space="preserve">Overhead multiplier (M3)</t>
  </si>
  <si>
    <t xml:space="preserve">Hours per worker (M3)</t>
  </si>
  <si>
    <t xml:space="preserve">Hourly wage (M3)</t>
  </si>
  <si>
    <t xml:space="preserve">Total workers (M3)</t>
  </si>
  <si>
    <t xml:space="preserve">IT compliance share (M3)</t>
  </si>
  <si>
    <t xml:space="preserve">IT spend (M3)</t>
  </si>
  <si>
    <t xml:space="preserve">State cost share (M3)</t>
  </si>
  <si>
    <t xml:space="preserve">Compliance workers (M3)</t>
  </si>
  <si>
    <t xml:space="preserve">Elasticity = % change in the headline per 1% change in the input.</t>
  </si>
  <si>
    <t xml:space="preserve">What the printed p-value implies (p.42)</t>
  </si>
  <si>
    <t xml:space="preserve">Coefficient (printed)</t>
  </si>
  <si>
    <t xml:space="preserve">p-value (printed, assumed two-sided)</t>
  </si>
  <si>
    <t xml:space="preserve">z-score implied by the p-value</t>
  </si>
  <si>
    <t xml:space="preserve">Implied standard error</t>
  </si>
  <si>
    <t xml:space="preserve">95% interval, low</t>
  </si>
  <si>
    <t xml:space="preserve">95% interval, high</t>
  </si>
  <si>
    <t xml:space="preserve">Effect of +0.1pp on investment growth, point (%)</t>
  </si>
  <si>
    <t xml:space="preserve">Effect, 95% low (%)</t>
  </si>
  <si>
    <t xml:space="preserve">Effect, 95% high (%)</t>
  </si>
  <si>
    <t xml:space="preserve">Printed foregone investment, 2025 (AUD bn)</t>
  </si>
  <si>
    <t xml:space="preserve">Foregone investment at the 95% low coefficient (AUD bn; positive = loss)</t>
  </si>
  <si>
    <t xml:space="preserve">Foregone investment at the 95% high coefficient (AUD bn; negative = gain)</t>
  </si>
  <si>
    <t xml:space="preserve">Assumes a normal approximation and a model that is linear in the compliance share. The 95% interval includes zero. Printed effect is 2.3%; the coefficient implies 2.24%.</t>
  </si>
</sst>
</file>

<file path=xl/styles.xml><?xml version="1.0" encoding="utf-8"?>
<styleSheet xmlns="http://schemas.openxmlformats.org/spreadsheetml/2006/main">
  <numFmts count="6">
    <numFmt numFmtId="164" formatCode="General"/>
    <numFmt numFmtId="165" formatCode="0.0"/>
    <numFmt numFmtId="166" formatCode="0.000"/>
    <numFmt numFmtId="167" formatCode="0.00"/>
    <numFmt numFmtId="168" formatCode="0%"/>
    <numFmt numFmtId="169" formatCode="#,##0.000"/>
  </numFmts>
  <fonts count="8">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1F4FBF"/>
      <name val="Cambria"/>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E8EEF7"/>
        <bgColor rgb="FFFFF2CC"/>
      </patternFill>
    </fill>
    <fill>
      <patternFill patternType="solid">
        <fgColor rgb="FFFFF2CC"/>
        <bgColor rgb="FFE8EE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EF7"/>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CCFFFF"/>
      <rgbColor rgb="FF660066"/>
      <rgbColor rgb="FFFF8080"/>
      <rgbColor rgb="FF1F4FBF"/>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Swing in the headline from a 20% move in each input (AUD bn)</a:t>
            </a:r>
          </a:p>
        </c:rich>
      </c:tx>
      <c:overlay val="0"/>
      <c:spPr>
        <a:noFill/>
        <a:ln w="0">
          <a:noFill/>
        </a:ln>
      </c:spPr>
    </c:title>
    <c:autoTitleDeleted val="0"/>
    <c:plotArea>
      <c:barChart>
        <c:barDir val="bar"/>
        <c:grouping val="clustered"/>
        <c:varyColors val="0"/>
        <c:ser>
          <c:idx val="0"/>
          <c:order val="0"/>
          <c:tx>
            <c:strRef>
              <c:f>Sensitivity!D25</c:f>
              <c:strCache>
                <c:ptCount val="1"/>
                <c:pt idx="0">
                  <c:v>Swing (AUD bn)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Sensitivity!$A$26:$A$38</c:f>
              <c:strCache>
                <c:ptCount val="13"/>
                <c:pt idx="0">
                  <c:v>2013 baseline (M1 and M2)</c:v>
                </c:pt>
                <c:pt idx="1">
                  <c:v>Volume multiplier (M1)</c:v>
                </c:pt>
                <c:pt idx="2">
                  <c:v>Complexity multiplier (M1)</c:v>
                </c:pt>
                <c:pt idx="3">
                  <c:v>CPI multiplier (M2)</c:v>
                </c:pt>
                <c:pt idx="4">
                  <c:v>Compliance-role multiplier (M2)</c:v>
                </c:pt>
                <c:pt idx="5">
                  <c:v>Overhead multiplier (M3)</c:v>
                </c:pt>
                <c:pt idx="6">
                  <c:v>Hours per worker (M3)</c:v>
                </c:pt>
                <c:pt idx="7">
                  <c:v>Hourly wage (M3)</c:v>
                </c:pt>
                <c:pt idx="8">
                  <c:v>Total workers (M3)</c:v>
                </c:pt>
                <c:pt idx="9">
                  <c:v>IT compliance share (M3)</c:v>
                </c:pt>
                <c:pt idx="10">
                  <c:v>IT spend (M3)</c:v>
                </c:pt>
                <c:pt idx="11">
                  <c:v>State cost share (M3)</c:v>
                </c:pt>
                <c:pt idx="12">
                  <c:v>Compliance workers (M3)</c:v>
                </c:pt>
              </c:strCache>
            </c:strRef>
          </c:cat>
          <c:val>
            <c:numRef>
              <c:f>Sensitivity!$D$26:$D$38</c:f>
              <c:numCache>
                <c:formatCode>0.0</c:formatCode>
                <c:ptCount val="13"/>
                <c:pt idx="0">
                  <c:v>45.667425</c:v>
                </c:pt>
                <c:pt idx="1">
                  <c:v>25.387425</c:v>
                </c:pt>
                <c:pt idx="2">
                  <c:v>25.387425</c:v>
                </c:pt>
                <c:pt idx="3">
                  <c:v>20.28</c:v>
                </c:pt>
                <c:pt idx="4">
                  <c:v>20.28</c:v>
                </c:pt>
                <c:pt idx="5">
                  <c:v>15.42223375</c:v>
                </c:pt>
                <c:pt idx="6">
                  <c:v>14.80479</c:v>
                </c:pt>
                <c:pt idx="7">
                  <c:v>13.66239</c:v>
                </c:pt>
                <c:pt idx="8">
                  <c:v>14.80479</c:v>
                </c:pt>
                <c:pt idx="9">
                  <c:v>5.40000000000001</c:v>
                </c:pt>
                <c:pt idx="10">
                  <c:v>5.40000000000001</c:v>
                </c:pt>
                <c:pt idx="11">
                  <c:v>3.60000000000002</c:v>
                </c:pt>
                <c:pt idx="12">
                  <c:v>1.31949999999998</c:v>
                </c:pt>
              </c:numCache>
            </c:numRef>
          </c:val>
        </c:ser>
        <c:gapWidth val="150"/>
        <c:overlap val="0"/>
        <c:axId val="66377495"/>
        <c:axId val="70906759"/>
      </c:barChart>
      <c:catAx>
        <c:axId val="663774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906759"/>
        <c:crosses val="autoZero"/>
        <c:auto val="1"/>
        <c:lblAlgn val="ctr"/>
        <c:lblOffset val="100"/>
        <c:noMultiLvlLbl val="0"/>
      </c:catAx>
      <c:valAx>
        <c:axId val="7090675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774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24</xdr:row>
      <xdr:rowOff>0</xdr:rowOff>
    </xdr:from>
    <xdr:to>
      <xdr:col>11</xdr:col>
      <xdr:colOff>840960</xdr:colOff>
      <xdr:row>41</xdr:row>
      <xdr:rowOff>1440</xdr:rowOff>
    </xdr:to>
    <xdr:graphicFrame>
      <xdr:nvGraphicFramePr>
        <xdr:cNvPr id="0" name="Chart 1"/>
        <xdr:cNvGraphicFramePr/>
      </xdr:nvGraphicFramePr>
      <xdr:xfrm>
        <a:off x="7189560" y="5143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28.35" hidden="false" customHeight="false" outlineLevel="0" collapsed="false">
      <c r="A3" s="2" t="s">
        <v>1</v>
      </c>
    </row>
    <row r="4" customFormat="false" ht="28.3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1"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28.3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6"/>
    <col collapsed="false" customWidth="true" hidden="false" outlineLevel="0" max="3" min="3" style="0" width="14"/>
    <col collapsed="false" customWidth="true" hidden="false" outlineLevel="0" max="4" min="4" style="0" width="16"/>
    <col collapsed="false" customWidth="true" hidden="false" outlineLevel="0" max="6" min="5" style="0" width="12"/>
    <col collapsed="false" customWidth="true" hidden="false" outlineLevel="0" max="7" min="7" style="0" width="90"/>
  </cols>
  <sheetData>
    <row r="1" customFormat="false" ht="15" hidden="false" customHeight="false" outlineLevel="0" collapsed="false">
      <c r="A1" s="3" t="s">
        <v>13</v>
      </c>
      <c r="B1" s="3" t="s">
        <v>14</v>
      </c>
      <c r="C1" s="3" t="s">
        <v>15</v>
      </c>
      <c r="D1" s="3" t="s">
        <v>16</v>
      </c>
      <c r="E1" s="3" t="s">
        <v>17</v>
      </c>
      <c r="F1" s="3" t="s">
        <v>18</v>
      </c>
      <c r="G1" s="3" t="s">
        <v>19</v>
      </c>
    </row>
    <row r="2" customFormat="false" ht="15" hidden="false" customHeight="false" outlineLevel="0" collapsed="false">
      <c r="A2" s="0" t="s">
        <v>20</v>
      </c>
      <c r="B2" s="0" t="s">
        <v>21</v>
      </c>
      <c r="C2" s="4" t="n">
        <v>65</v>
      </c>
      <c r="D2" s="5" t="s">
        <v>22</v>
      </c>
      <c r="E2" s="5" t="s">
        <v>23</v>
      </c>
      <c r="F2" s="5" t="s">
        <v>24</v>
      </c>
      <c r="G2" s="2" t="s">
        <v>25</v>
      </c>
    </row>
    <row r="3" customFormat="false" ht="15" hidden="false" customHeight="false" outlineLevel="0" collapsed="false">
      <c r="A3" s="0" t="s">
        <v>26</v>
      </c>
      <c r="B3" s="0" t="s">
        <v>27</v>
      </c>
      <c r="C3" s="4" t="n">
        <v>0.042</v>
      </c>
      <c r="D3" s="5" t="s">
        <v>28</v>
      </c>
      <c r="E3" s="5" t="s">
        <v>23</v>
      </c>
      <c r="F3" s="5" t="s">
        <v>24</v>
      </c>
      <c r="G3" s="2" t="s">
        <v>29</v>
      </c>
    </row>
    <row r="4" customFormat="false" ht="15" hidden="false" customHeight="false" outlineLevel="0" collapsed="false">
      <c r="A4" s="6" t="s">
        <v>30</v>
      </c>
      <c r="B4" s="6" t="s">
        <v>31</v>
      </c>
      <c r="C4" s="7" t="n">
        <v>2700</v>
      </c>
      <c r="D4" s="6" t="s">
        <v>22</v>
      </c>
      <c r="E4" s="6" t="s">
        <v>32</v>
      </c>
      <c r="F4" s="6" t="s">
        <v>33</v>
      </c>
      <c r="G4" s="8" t="s">
        <v>34</v>
      </c>
    </row>
    <row r="5" customFormat="false" ht="15" hidden="false" customHeight="false" outlineLevel="0" collapsed="false">
      <c r="A5" s="0" t="s">
        <v>35</v>
      </c>
      <c r="B5" s="0" t="s">
        <v>36</v>
      </c>
      <c r="C5" s="4" t="n">
        <v>160000</v>
      </c>
      <c r="D5" s="5" t="s">
        <v>37</v>
      </c>
      <c r="E5" s="5" t="s">
        <v>32</v>
      </c>
      <c r="F5" s="5" t="s">
        <v>24</v>
      </c>
      <c r="G5" s="2" t="s">
        <v>38</v>
      </c>
    </row>
    <row r="6" customFormat="false" ht="15" hidden="false" customHeight="false" outlineLevel="0" collapsed="false">
      <c r="A6" s="0" t="s">
        <v>39</v>
      </c>
      <c r="B6" s="0" t="s">
        <v>40</v>
      </c>
      <c r="C6" s="4" t="n">
        <v>199000</v>
      </c>
      <c r="D6" s="5" t="s">
        <v>37</v>
      </c>
      <c r="E6" s="5" t="s">
        <v>32</v>
      </c>
      <c r="F6" s="5" t="s">
        <v>24</v>
      </c>
      <c r="G6" s="2" t="s">
        <v>41</v>
      </c>
    </row>
    <row r="7" customFormat="false" ht="15" hidden="false" customHeight="false" outlineLevel="0" collapsed="false">
      <c r="A7" s="0" t="s">
        <v>42</v>
      </c>
      <c r="B7" s="0" t="s">
        <v>43</v>
      </c>
      <c r="C7" s="4" t="n">
        <v>1.41</v>
      </c>
      <c r="D7" s="5" t="s">
        <v>44</v>
      </c>
      <c r="E7" s="5" t="s">
        <v>32</v>
      </c>
      <c r="F7" s="5" t="s">
        <v>24</v>
      </c>
      <c r="G7" s="2" t="s">
        <v>45</v>
      </c>
    </row>
    <row r="8" customFormat="false" ht="15" hidden="false" customHeight="false" outlineLevel="0" collapsed="false">
      <c r="A8" s="0" t="s">
        <v>46</v>
      </c>
      <c r="B8" s="0" t="s">
        <v>47</v>
      </c>
      <c r="C8" s="4" t="n">
        <v>0.4</v>
      </c>
      <c r="D8" s="5" t="s">
        <v>44</v>
      </c>
      <c r="E8" s="5" t="s">
        <v>32</v>
      </c>
      <c r="F8" s="5" t="s">
        <v>24</v>
      </c>
      <c r="G8" s="2" t="s">
        <v>48</v>
      </c>
    </row>
    <row r="9" customFormat="false" ht="15" hidden="false" customHeight="false" outlineLevel="0" collapsed="false">
      <c r="A9" s="0" t="s">
        <v>49</v>
      </c>
      <c r="B9" s="0" t="s">
        <v>50</v>
      </c>
      <c r="C9" s="4" t="n">
        <v>0.23</v>
      </c>
      <c r="D9" s="5" t="s">
        <v>44</v>
      </c>
      <c r="E9" s="5" t="s">
        <v>32</v>
      </c>
      <c r="F9" s="5" t="s">
        <v>24</v>
      </c>
      <c r="G9" s="2" t="s">
        <v>51</v>
      </c>
    </row>
    <row r="10" customFormat="false" ht="15" hidden="false" customHeight="false" outlineLevel="0" collapsed="false">
      <c r="A10" s="0" t="s">
        <v>52</v>
      </c>
      <c r="B10" s="0" t="s">
        <v>53</v>
      </c>
      <c r="C10" s="4" t="n">
        <v>0.22</v>
      </c>
      <c r="D10" s="5" t="s">
        <v>44</v>
      </c>
      <c r="E10" s="5" t="s">
        <v>32</v>
      </c>
      <c r="F10" s="5" t="s">
        <v>24</v>
      </c>
      <c r="G10" s="2" t="s">
        <v>54</v>
      </c>
    </row>
    <row r="11" customFormat="false" ht="15" hidden="false" customHeight="false" outlineLevel="0" collapsed="false">
      <c r="A11" s="0" t="s">
        <v>55</v>
      </c>
      <c r="B11" s="0" t="s">
        <v>56</v>
      </c>
      <c r="C11" s="4" t="n">
        <v>0.07</v>
      </c>
      <c r="D11" s="5" t="s">
        <v>44</v>
      </c>
      <c r="E11" s="5" t="s">
        <v>32</v>
      </c>
      <c r="F11" s="5" t="s">
        <v>24</v>
      </c>
      <c r="G11" s="2" t="s">
        <v>57</v>
      </c>
    </row>
    <row r="12" customFormat="false" ht="15" hidden="false" customHeight="false" outlineLevel="0" collapsed="false">
      <c r="A12" s="0" t="s">
        <v>58</v>
      </c>
      <c r="B12" s="0" t="s">
        <v>59</v>
      </c>
      <c r="C12" s="4" t="n">
        <v>-0.23</v>
      </c>
      <c r="D12" s="5" t="s">
        <v>44</v>
      </c>
      <c r="E12" s="5" t="s">
        <v>32</v>
      </c>
      <c r="F12" s="5" t="s">
        <v>24</v>
      </c>
      <c r="G12" s="2" t="s">
        <v>60</v>
      </c>
    </row>
    <row r="13" customFormat="false" ht="15" hidden="false" customHeight="false" outlineLevel="0" collapsed="false">
      <c r="A13" s="0" t="s">
        <v>61</v>
      </c>
      <c r="B13" s="0" t="s">
        <v>62</v>
      </c>
      <c r="C13" s="4" t="n">
        <v>0.35</v>
      </c>
      <c r="D13" s="5" t="s">
        <v>28</v>
      </c>
      <c r="E13" s="5" t="s">
        <v>32</v>
      </c>
      <c r="F13" s="5" t="s">
        <v>24</v>
      </c>
      <c r="G13" s="2" t="s">
        <v>63</v>
      </c>
    </row>
    <row r="14" customFormat="false" ht="15" hidden="false" customHeight="false" outlineLevel="0" collapsed="false">
      <c r="A14" s="0" t="s">
        <v>64</v>
      </c>
      <c r="B14" s="0" t="s">
        <v>65</v>
      </c>
      <c r="C14" s="4" t="n">
        <v>30000</v>
      </c>
      <c r="D14" s="5" t="s">
        <v>66</v>
      </c>
      <c r="E14" s="5" t="s">
        <v>32</v>
      </c>
      <c r="F14" s="5" t="s">
        <v>24</v>
      </c>
      <c r="G14" s="2" t="s">
        <v>67</v>
      </c>
    </row>
    <row r="15" customFormat="false" ht="15" hidden="false" customHeight="false" outlineLevel="0" collapsed="false">
      <c r="A15" s="0" t="s">
        <v>68</v>
      </c>
      <c r="B15" s="0" t="s">
        <v>69</v>
      </c>
      <c r="C15" s="4" t="n">
        <v>52000</v>
      </c>
      <c r="D15" s="5" t="s">
        <v>66</v>
      </c>
      <c r="E15" s="5" t="s">
        <v>32</v>
      </c>
      <c r="F15" s="5" t="s">
        <v>24</v>
      </c>
      <c r="G15" s="2" t="s">
        <v>70</v>
      </c>
    </row>
    <row r="16" customFormat="false" ht="15" hidden="false" customHeight="false" outlineLevel="0" collapsed="false">
      <c r="A16" s="0" t="s">
        <v>71</v>
      </c>
      <c r="B16" s="0" t="s">
        <v>72</v>
      </c>
      <c r="C16" s="4" t="n">
        <v>52000</v>
      </c>
      <c r="D16" s="5" t="s">
        <v>73</v>
      </c>
      <c r="E16" s="5" t="s">
        <v>74</v>
      </c>
      <c r="F16" s="5" t="s">
        <v>24</v>
      </c>
      <c r="G16" s="2"/>
    </row>
    <row r="17" customFormat="false" ht="15" hidden="false" customHeight="false" outlineLevel="0" collapsed="false">
      <c r="A17" s="0" t="s">
        <v>75</v>
      </c>
      <c r="B17" s="0" t="s">
        <v>76</v>
      </c>
      <c r="C17" s="4" t="n">
        <v>0.75</v>
      </c>
      <c r="D17" s="5" t="s">
        <v>28</v>
      </c>
      <c r="E17" s="5" t="s">
        <v>74</v>
      </c>
      <c r="F17" s="5" t="s">
        <v>24</v>
      </c>
      <c r="G17" s="2" t="s">
        <v>77</v>
      </c>
    </row>
    <row r="18" customFormat="false" ht="15" hidden="false" customHeight="false" outlineLevel="0" collapsed="false">
      <c r="A18" s="0" t="s">
        <v>78</v>
      </c>
      <c r="B18" s="0" t="s">
        <v>79</v>
      </c>
      <c r="C18" s="4" t="n">
        <v>145000</v>
      </c>
      <c r="D18" s="5" t="s">
        <v>80</v>
      </c>
      <c r="E18" s="5" t="s">
        <v>74</v>
      </c>
      <c r="F18" s="5" t="s">
        <v>24</v>
      </c>
      <c r="G18" s="2"/>
    </row>
    <row r="19" customFormat="false" ht="28.35" hidden="false" customHeight="false" outlineLevel="0" collapsed="false">
      <c r="A19" s="0" t="s">
        <v>81</v>
      </c>
      <c r="B19" s="0" t="s">
        <v>82</v>
      </c>
      <c r="C19" s="4" t="n">
        <v>1.75</v>
      </c>
      <c r="D19" s="5" t="s">
        <v>83</v>
      </c>
      <c r="E19" s="5" t="s">
        <v>74</v>
      </c>
      <c r="F19" s="5" t="s">
        <v>24</v>
      </c>
      <c r="G19" s="2" t="s">
        <v>84</v>
      </c>
    </row>
    <row r="20" customFormat="false" ht="15" hidden="false" customHeight="false" outlineLevel="0" collapsed="false">
      <c r="A20" s="0" t="s">
        <v>85</v>
      </c>
      <c r="B20" s="0" t="s">
        <v>86</v>
      </c>
      <c r="C20" s="4" t="n">
        <v>40000</v>
      </c>
      <c r="D20" s="5" t="s">
        <v>73</v>
      </c>
      <c r="E20" s="5" t="s">
        <v>74</v>
      </c>
      <c r="F20" s="5" t="s">
        <v>24</v>
      </c>
      <c r="G20" s="2"/>
    </row>
    <row r="21" customFormat="false" ht="15" hidden="false" customHeight="false" outlineLevel="0" collapsed="false">
      <c r="A21" s="0" t="s">
        <v>87</v>
      </c>
      <c r="B21" s="0" t="s">
        <v>88</v>
      </c>
      <c r="C21" s="4" t="n">
        <v>141000</v>
      </c>
      <c r="D21" s="5" t="s">
        <v>80</v>
      </c>
      <c r="E21" s="5" t="s">
        <v>74</v>
      </c>
      <c r="F21" s="5" t="s">
        <v>24</v>
      </c>
      <c r="G21" s="2"/>
    </row>
    <row r="22" customFormat="false" ht="15" hidden="false" customHeight="false" outlineLevel="0" collapsed="false">
      <c r="A22" s="0" t="s">
        <v>89</v>
      </c>
      <c r="B22" s="0" t="s">
        <v>90</v>
      </c>
      <c r="C22" s="4" t="n">
        <v>0.23</v>
      </c>
      <c r="D22" s="5" t="s">
        <v>28</v>
      </c>
      <c r="E22" s="5" t="s">
        <v>74</v>
      </c>
      <c r="F22" s="5" t="s">
        <v>24</v>
      </c>
      <c r="G22" s="2"/>
    </row>
    <row r="23" customFormat="false" ht="15" hidden="false" customHeight="false" outlineLevel="0" collapsed="false">
      <c r="A23" s="0" t="s">
        <v>91</v>
      </c>
      <c r="B23" s="0" t="s">
        <v>92</v>
      </c>
      <c r="C23" s="4" t="n">
        <v>21000</v>
      </c>
      <c r="D23" s="5" t="s">
        <v>73</v>
      </c>
      <c r="E23" s="5" t="s">
        <v>74</v>
      </c>
      <c r="F23" s="5" t="s">
        <v>24</v>
      </c>
      <c r="G23" s="2"/>
    </row>
    <row r="24" customFormat="false" ht="15" hidden="false" customHeight="false" outlineLevel="0" collapsed="false">
      <c r="A24" s="0" t="s">
        <v>93</v>
      </c>
      <c r="B24" s="0" t="s">
        <v>94</v>
      </c>
      <c r="C24" s="4" t="n">
        <v>135000</v>
      </c>
      <c r="D24" s="5" t="s">
        <v>80</v>
      </c>
      <c r="E24" s="5" t="s">
        <v>74</v>
      </c>
      <c r="F24" s="5" t="s">
        <v>24</v>
      </c>
      <c r="G24" s="2"/>
    </row>
    <row r="25" customFormat="false" ht="15" hidden="false" customHeight="false" outlineLevel="0" collapsed="false">
      <c r="A25" s="0" t="s">
        <v>95</v>
      </c>
      <c r="B25" s="0" t="s">
        <v>96</v>
      </c>
      <c r="C25" s="4" t="n">
        <v>0.43</v>
      </c>
      <c r="D25" s="5" t="s">
        <v>28</v>
      </c>
      <c r="E25" s="5" t="s">
        <v>74</v>
      </c>
      <c r="F25" s="5" t="s">
        <v>24</v>
      </c>
      <c r="G25" s="2"/>
    </row>
    <row r="26" customFormat="false" ht="28.35" hidden="false" customHeight="false" outlineLevel="0" collapsed="false">
      <c r="A26" s="0" t="s">
        <v>97</v>
      </c>
      <c r="B26" s="0" t="s">
        <v>98</v>
      </c>
      <c r="C26" s="4" t="n">
        <v>87</v>
      </c>
      <c r="D26" s="5" t="s">
        <v>99</v>
      </c>
      <c r="E26" s="5" t="s">
        <v>74</v>
      </c>
      <c r="F26" s="5" t="s">
        <v>24</v>
      </c>
      <c r="G26" s="2" t="s">
        <v>100</v>
      </c>
    </row>
    <row r="27" customFormat="false" ht="28.35" hidden="false" customHeight="false" outlineLevel="0" collapsed="false">
      <c r="A27" s="0" t="s">
        <v>101</v>
      </c>
      <c r="B27" s="0" t="s">
        <v>102</v>
      </c>
      <c r="C27" s="4" t="n">
        <v>96000000</v>
      </c>
      <c r="D27" s="5" t="s">
        <v>99</v>
      </c>
      <c r="E27" s="5" t="s">
        <v>74</v>
      </c>
      <c r="F27" s="5" t="s">
        <v>24</v>
      </c>
      <c r="G27" s="2" t="s">
        <v>103</v>
      </c>
    </row>
    <row r="28" customFormat="false" ht="15" hidden="false" customHeight="false" outlineLevel="0" collapsed="false">
      <c r="A28" s="0" t="s">
        <v>104</v>
      </c>
      <c r="B28" s="0" t="s">
        <v>105</v>
      </c>
      <c r="C28" s="4" t="n">
        <v>14300000</v>
      </c>
      <c r="D28" s="5" t="s">
        <v>73</v>
      </c>
      <c r="E28" s="5" t="s">
        <v>74</v>
      </c>
      <c r="F28" s="5" t="s">
        <v>24</v>
      </c>
      <c r="G28" s="2"/>
    </row>
    <row r="29" customFormat="false" ht="15" hidden="false" customHeight="false" outlineLevel="0" collapsed="false">
      <c r="A29" s="0" t="s">
        <v>106</v>
      </c>
      <c r="B29" s="0" t="s">
        <v>107</v>
      </c>
      <c r="C29" s="4" t="n">
        <v>51</v>
      </c>
      <c r="D29" s="5" t="s">
        <v>108</v>
      </c>
      <c r="E29" s="5" t="s">
        <v>74</v>
      </c>
      <c r="F29" s="5" t="s">
        <v>24</v>
      </c>
      <c r="G29" s="2"/>
    </row>
    <row r="30" customFormat="false" ht="15" hidden="false" customHeight="false" outlineLevel="0" collapsed="false">
      <c r="A30" s="0" t="s">
        <v>109</v>
      </c>
      <c r="B30" s="0" t="s">
        <v>110</v>
      </c>
      <c r="C30" s="4" t="n">
        <v>135</v>
      </c>
      <c r="D30" s="5" t="s">
        <v>22</v>
      </c>
      <c r="E30" s="5" t="s">
        <v>74</v>
      </c>
      <c r="F30" s="5" t="s">
        <v>24</v>
      </c>
      <c r="G30" s="2" t="s">
        <v>111</v>
      </c>
    </row>
    <row r="31" customFormat="false" ht="15" hidden="false" customHeight="false" outlineLevel="0" collapsed="false">
      <c r="A31" s="0" t="s">
        <v>112</v>
      </c>
      <c r="B31" s="0" t="s">
        <v>113</v>
      </c>
      <c r="C31" s="4" t="n">
        <v>0.3</v>
      </c>
      <c r="D31" s="5" t="s">
        <v>28</v>
      </c>
      <c r="E31" s="5" t="s">
        <v>74</v>
      </c>
      <c r="F31" s="5" t="s">
        <v>24</v>
      </c>
      <c r="G31" s="2" t="s">
        <v>114</v>
      </c>
    </row>
    <row r="32" customFormat="false" ht="15" hidden="false" customHeight="false" outlineLevel="0" collapsed="false">
      <c r="A32" s="0" t="s">
        <v>115</v>
      </c>
      <c r="B32" s="0" t="s">
        <v>116</v>
      </c>
      <c r="C32" s="4" t="n">
        <v>63000</v>
      </c>
      <c r="D32" s="5" t="s">
        <v>73</v>
      </c>
      <c r="E32" s="5" t="s">
        <v>74</v>
      </c>
      <c r="F32" s="5" t="s">
        <v>24</v>
      </c>
      <c r="G32" s="2"/>
    </row>
    <row r="33" customFormat="false" ht="15" hidden="false" customHeight="false" outlineLevel="0" collapsed="false">
      <c r="A33" s="0" t="s">
        <v>117</v>
      </c>
      <c r="B33" s="0" t="s">
        <v>118</v>
      </c>
      <c r="C33" s="4" t="n">
        <v>340000</v>
      </c>
      <c r="D33" s="5" t="s">
        <v>80</v>
      </c>
      <c r="E33" s="5" t="s">
        <v>74</v>
      </c>
      <c r="F33" s="5" t="s">
        <v>24</v>
      </c>
      <c r="G33" s="2"/>
    </row>
    <row r="34" customFormat="false" ht="15" hidden="false" customHeight="false" outlineLevel="0" collapsed="false">
      <c r="A34" s="0" t="s">
        <v>119</v>
      </c>
      <c r="B34" s="0" t="s">
        <v>120</v>
      </c>
      <c r="C34" s="4" t="n">
        <v>0.23</v>
      </c>
      <c r="D34" s="5" t="s">
        <v>28</v>
      </c>
      <c r="E34" s="5" t="s">
        <v>74</v>
      </c>
      <c r="F34" s="5" t="s">
        <v>24</v>
      </c>
      <c r="G34" s="2"/>
    </row>
    <row r="35" customFormat="false" ht="15" hidden="false" customHeight="false" outlineLevel="0" collapsed="false">
      <c r="A35" s="0" t="s">
        <v>121</v>
      </c>
      <c r="B35" s="0" t="s">
        <v>122</v>
      </c>
      <c r="C35" s="4" t="n">
        <v>0.823</v>
      </c>
      <c r="D35" s="5" t="s">
        <v>22</v>
      </c>
      <c r="E35" s="5" t="s">
        <v>74</v>
      </c>
      <c r="F35" s="5" t="s">
        <v>24</v>
      </c>
      <c r="G35" s="2" t="s">
        <v>123</v>
      </c>
    </row>
    <row r="36" customFormat="false" ht="15" hidden="false" customHeight="false" outlineLevel="0" collapsed="false">
      <c r="A36" s="0" t="s">
        <v>124</v>
      </c>
      <c r="B36" s="0" t="s">
        <v>125</v>
      </c>
      <c r="C36" s="4" t="n">
        <v>0.78</v>
      </c>
      <c r="D36" s="5" t="s">
        <v>28</v>
      </c>
      <c r="E36" s="5" t="s">
        <v>74</v>
      </c>
      <c r="F36" s="5" t="s">
        <v>24</v>
      </c>
      <c r="G36" s="2" t="s">
        <v>126</v>
      </c>
    </row>
    <row r="37" customFormat="false" ht="15" hidden="false" customHeight="false" outlineLevel="0" collapsed="false">
      <c r="A37" s="0" t="s">
        <v>127</v>
      </c>
      <c r="B37" s="0" t="s">
        <v>128</v>
      </c>
      <c r="C37" s="4" t="n">
        <v>0.43</v>
      </c>
      <c r="D37" s="5" t="s">
        <v>28</v>
      </c>
      <c r="E37" s="5" t="s">
        <v>74</v>
      </c>
      <c r="F37" s="5" t="s">
        <v>24</v>
      </c>
      <c r="G37" s="2"/>
    </row>
    <row r="38" customFormat="false" ht="15" hidden="false" customHeight="false" outlineLevel="0" collapsed="false">
      <c r="A38" s="0" t="s">
        <v>129</v>
      </c>
      <c r="B38" s="0" t="s">
        <v>130</v>
      </c>
      <c r="C38" s="4" t="n">
        <v>0.01</v>
      </c>
      <c r="D38" s="5" t="s">
        <v>28</v>
      </c>
      <c r="E38" s="5" t="s">
        <v>74</v>
      </c>
      <c r="F38" s="5" t="s">
        <v>24</v>
      </c>
      <c r="G38" s="2" t="s">
        <v>131</v>
      </c>
    </row>
    <row r="39" customFormat="false" ht="15" hidden="false" customHeight="false" outlineLevel="0" collapsed="false">
      <c r="A39" s="6" t="s">
        <v>132</v>
      </c>
      <c r="B39" s="6" t="s">
        <v>133</v>
      </c>
      <c r="C39" s="7" t="n">
        <v>2700</v>
      </c>
      <c r="D39" s="6" t="s">
        <v>22</v>
      </c>
      <c r="E39" s="6" t="s">
        <v>74</v>
      </c>
      <c r="F39" s="6" t="s">
        <v>33</v>
      </c>
      <c r="G39" s="8" t="s">
        <v>134</v>
      </c>
    </row>
    <row r="40" customFormat="false" ht="15" hidden="false" customHeight="false" outlineLevel="0" collapsed="false">
      <c r="A40" s="0" t="s">
        <v>135</v>
      </c>
      <c r="B40" s="0" t="s">
        <v>136</v>
      </c>
      <c r="C40" s="4" t="n">
        <v>190</v>
      </c>
      <c r="D40" s="5" t="s">
        <v>22</v>
      </c>
      <c r="E40" s="5" t="s">
        <v>32</v>
      </c>
      <c r="F40" s="5" t="s">
        <v>24</v>
      </c>
      <c r="G40" s="2" t="s">
        <v>137</v>
      </c>
    </row>
    <row r="41" customFormat="false" ht="15" hidden="false" customHeight="false" outlineLevel="0" collapsed="false">
      <c r="A41" s="0" t="s">
        <v>138</v>
      </c>
      <c r="B41" s="0" t="s">
        <v>139</v>
      </c>
      <c r="C41" s="4" t="n">
        <v>150</v>
      </c>
      <c r="D41" s="5" t="s">
        <v>22</v>
      </c>
      <c r="E41" s="5" t="s">
        <v>32</v>
      </c>
      <c r="F41" s="5" t="s">
        <v>24</v>
      </c>
      <c r="G41" s="2" t="s">
        <v>137</v>
      </c>
    </row>
    <row r="42" customFormat="false" ht="15" hidden="false" customHeight="false" outlineLevel="0" collapsed="false">
      <c r="A42" s="0" t="s">
        <v>140</v>
      </c>
      <c r="B42" s="0" t="s">
        <v>141</v>
      </c>
      <c r="C42" s="4" t="n">
        <v>130</v>
      </c>
      <c r="D42" s="5" t="s">
        <v>22</v>
      </c>
      <c r="E42" s="5" t="s">
        <v>74</v>
      </c>
      <c r="F42" s="5" t="s">
        <v>24</v>
      </c>
      <c r="G42" s="2" t="s">
        <v>142</v>
      </c>
    </row>
    <row r="43" customFormat="false" ht="15" hidden="false" customHeight="false" outlineLevel="0" collapsed="false">
      <c r="A43" s="0" t="s">
        <v>143</v>
      </c>
      <c r="B43" s="0" t="s">
        <v>144</v>
      </c>
      <c r="C43" s="4" t="n">
        <v>159</v>
      </c>
      <c r="D43" s="5" t="s">
        <v>22</v>
      </c>
      <c r="E43" s="5" t="s">
        <v>23</v>
      </c>
      <c r="F43" s="5" t="s">
        <v>24</v>
      </c>
      <c r="G43" s="2" t="s">
        <v>145</v>
      </c>
    </row>
    <row r="44" customFormat="false" ht="15" hidden="false" customHeight="false" outlineLevel="0" collapsed="false">
      <c r="A44" s="0" t="s">
        <v>146</v>
      </c>
      <c r="B44" s="0" t="s">
        <v>147</v>
      </c>
      <c r="C44" s="4" t="n">
        <v>-22.4</v>
      </c>
      <c r="D44" s="5" t="s">
        <v>148</v>
      </c>
      <c r="E44" s="5" t="s">
        <v>149</v>
      </c>
      <c r="F44" s="5" t="s">
        <v>24</v>
      </c>
      <c r="G44" s="2"/>
    </row>
    <row r="45" customFormat="false" ht="15" hidden="false" customHeight="false" outlineLevel="0" collapsed="false">
      <c r="A45" s="0" t="s">
        <v>150</v>
      </c>
      <c r="B45" s="0" t="s">
        <v>151</v>
      </c>
      <c r="C45" s="4" t="n">
        <v>0.09</v>
      </c>
      <c r="D45" s="5" t="s">
        <v>152</v>
      </c>
      <c r="E45" s="5" t="s">
        <v>149</v>
      </c>
      <c r="F45" s="5" t="s">
        <v>24</v>
      </c>
      <c r="G45" s="2" t="s">
        <v>153</v>
      </c>
    </row>
    <row r="46" customFormat="false" ht="15" hidden="false" customHeight="false" outlineLevel="0" collapsed="false">
      <c r="A46" s="0" t="s">
        <v>154</v>
      </c>
      <c r="B46" s="0" t="s">
        <v>155</v>
      </c>
      <c r="C46" s="4" t="n">
        <v>-0.023</v>
      </c>
      <c r="D46" s="5" t="s">
        <v>28</v>
      </c>
      <c r="E46" s="5" t="s">
        <v>156</v>
      </c>
      <c r="F46" s="5" t="s">
        <v>24</v>
      </c>
      <c r="G46" s="2" t="s">
        <v>157</v>
      </c>
    </row>
    <row r="47" customFormat="false" ht="15" hidden="false" customHeight="false" outlineLevel="0" collapsed="false">
      <c r="A47" s="0" t="s">
        <v>158</v>
      </c>
      <c r="B47" s="0" t="s">
        <v>159</v>
      </c>
      <c r="C47" s="4" t="n">
        <v>10.4</v>
      </c>
      <c r="D47" s="5" t="s">
        <v>22</v>
      </c>
      <c r="E47" s="5" t="s">
        <v>156</v>
      </c>
      <c r="F47" s="5" t="s">
        <v>24</v>
      </c>
      <c r="G47" s="2"/>
    </row>
    <row r="48" customFormat="false" ht="28.35" hidden="false" customHeight="false" outlineLevel="0" collapsed="false">
      <c r="A48" s="6" t="s">
        <v>160</v>
      </c>
      <c r="B48" s="6" t="s">
        <v>161</v>
      </c>
      <c r="C48" s="7" t="n">
        <v>0.3</v>
      </c>
      <c r="D48" s="6" t="s">
        <v>28</v>
      </c>
      <c r="E48" s="6" t="s">
        <v>162</v>
      </c>
      <c r="F48" s="6" t="s">
        <v>163</v>
      </c>
      <c r="G48" s="8"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4"/>
    <col collapsed="false" customWidth="true" hidden="false" outlineLevel="0" max="3" min="3" style="0" width="60"/>
  </cols>
  <sheetData>
    <row r="1" customFormat="false" ht="15" hidden="false" customHeight="false" outlineLevel="0" collapsed="false">
      <c r="A1" s="9" t="s">
        <v>165</v>
      </c>
    </row>
    <row r="2" customFormat="false" ht="15" hidden="false" customHeight="false" outlineLevel="0" collapsed="false">
      <c r="A2" s="0" t="s">
        <v>166</v>
      </c>
      <c r="B2" s="10" t="n">
        <f aca="false">gdp_share_2013*gdp_2024</f>
        <v>113.4</v>
      </c>
      <c r="C2" s="2" t="s">
        <v>167</v>
      </c>
    </row>
    <row r="3" customFormat="false" ht="15" hidden="false" customHeight="false" outlineLevel="0" collapsed="false">
      <c r="A3" s="0" t="s">
        <v>168</v>
      </c>
      <c r="B3" s="11" t="n">
        <f aca="false">pages_2024/pages_2013</f>
        <v>1.24375</v>
      </c>
      <c r="C3" s="2" t="s">
        <v>169</v>
      </c>
    </row>
    <row r="4" customFormat="false" ht="15" hidden="false" customHeight="false" outlineLevel="0" collapsed="false">
      <c r="A4" s="0" t="s">
        <v>170</v>
      </c>
      <c r="B4" s="11" t="n">
        <f aca="false">1+AVERAGE(cx_notional,cx_structural,cx_penalty,cx_defined,cx_instruments,cx_interconnect)</f>
        <v>1.35</v>
      </c>
      <c r="C4" s="2" t="s">
        <v>171</v>
      </c>
    </row>
    <row r="5" customFormat="false" ht="15" hidden="false" customHeight="false" outlineLevel="0" collapsed="false">
      <c r="A5" s="0" t="s">
        <v>172</v>
      </c>
      <c r="B5" s="11" t="n">
        <f aca="false">1+cpi_2013_24</f>
        <v>1.35</v>
      </c>
      <c r="C5" s="2" t="s">
        <v>171</v>
      </c>
    </row>
    <row r="6" customFormat="false" ht="15" hidden="false" customHeight="false" outlineLevel="0" collapsed="false">
      <c r="A6" s="0" t="s">
        <v>173</v>
      </c>
      <c r="B6" s="11" t="n">
        <f aca="false">roles_2024/roles_2013</f>
        <v>1.73333333333333</v>
      </c>
      <c r="C6" s="2" t="s">
        <v>174</v>
      </c>
    </row>
    <row r="8" customFormat="false" ht="15" hidden="false" customHeight="false" outlineLevel="0" collapsed="false">
      <c r="A8" s="9" t="s">
        <v>175</v>
      </c>
    </row>
    <row r="9" customFormat="false" ht="15" hidden="false" customHeight="false" outlineLevel="0" collapsed="false">
      <c r="A9" s="9" t="s">
        <v>176</v>
      </c>
      <c r="B9" s="12" t="n">
        <f aca="false">d_base_proj*d_vol_mult*d_cx_mult</f>
        <v>190.4056875</v>
      </c>
      <c r="C9" s="2" t="s">
        <v>177</v>
      </c>
    </row>
    <row r="11" customFormat="false" ht="15" hidden="false" customHeight="false" outlineLevel="0" collapsed="false">
      <c r="A11" s="9" t="s">
        <v>178</v>
      </c>
    </row>
    <row r="12" customFormat="false" ht="15" hidden="false" customHeight="false" outlineLevel="0" collapsed="false">
      <c r="A12" s="0" t="s">
        <v>179</v>
      </c>
      <c r="B12" s="10" t="n">
        <f aca="false">base_2013*d_cpi_mult</f>
        <v>87.75</v>
      </c>
      <c r="C12" s="2" t="s">
        <v>180</v>
      </c>
    </row>
    <row r="13" customFormat="false" ht="15" hidden="false" customHeight="false" outlineLevel="0" collapsed="false">
      <c r="A13" s="9" t="s">
        <v>181</v>
      </c>
      <c r="B13" s="12" t="n">
        <f aca="false">base_2013*d_cpi_mult*d_role_mult</f>
        <v>152.1</v>
      </c>
      <c r="C13" s="2" t="s">
        <v>182</v>
      </c>
    </row>
    <row r="15" customFormat="false" ht="15" hidden="false" customHeight="false" outlineLevel="0" collapsed="false">
      <c r="A15" s="9" t="s">
        <v>183</v>
      </c>
    </row>
    <row r="16" customFormat="false" ht="15" hidden="false" customHeight="false" outlineLevel="0" collapsed="false">
      <c r="A16" s="0" t="s">
        <v>184</v>
      </c>
      <c r="B16" s="10" t="n">
        <f aca="false">Reconciliation!C13</f>
        <v>160.315408253205</v>
      </c>
      <c r="C16" s="2" t="s">
        <v>185</v>
      </c>
    </row>
    <row r="17" customFormat="false" ht="15" hidden="false" customHeight="false" outlineLevel="0" collapsed="false">
      <c r="A17" s="0" t="s">
        <v>186</v>
      </c>
      <c r="B17" s="10" t="n">
        <f aca="false">state_share_gsp*gsp_total</f>
        <v>27</v>
      </c>
      <c r="C17" s="2" t="s">
        <v>187</v>
      </c>
    </row>
    <row r="18" customFormat="false" ht="15" hidden="false" customHeight="false" outlineLevel="0" collapsed="false">
      <c r="A18" s="9" t="s">
        <v>188</v>
      </c>
      <c r="B18" s="12" t="n">
        <f aca="false">m3_total-m3_state</f>
        <v>133.315408253205</v>
      </c>
      <c r="C18" s="2" t="s">
        <v>189</v>
      </c>
    </row>
    <row r="19" customFormat="false" ht="15" hidden="false" customHeight="false" outlineLevel="0" collapsed="false">
      <c r="A19" s="0" t="s">
        <v>190</v>
      </c>
      <c r="B19" s="10" t="n">
        <f aca="false">Reconciliation!C3+Reconciliation!C4+Reconciliation!C5+Reconciliation!C6+Reconciliation!C7+Reconciliation!C11+Reconciliation!C12</f>
        <v>17.3474832532051</v>
      </c>
      <c r="C19" s="2" t="s">
        <v>191</v>
      </c>
    </row>
    <row r="21" customFormat="false" ht="15" hidden="false" customHeight="false" outlineLevel="0" collapsed="false">
      <c r="A21" s="9" t="s">
        <v>192</v>
      </c>
    </row>
    <row r="22" customFormat="false" ht="15" hidden="false" customHeight="false" outlineLevel="0" collapsed="false">
      <c r="A22" s="9" t="s">
        <v>193</v>
      </c>
      <c r="B22" s="12" t="n">
        <f aca="false">(m1+m2+m3)/3</f>
        <v>158.607031917735</v>
      </c>
      <c r="C22" s="2" t="s">
        <v>194</v>
      </c>
    </row>
    <row r="23" customFormat="false" ht="15" hidden="false" customHeight="false" outlineLevel="0" collapsed="false">
      <c r="A23" s="0" t="s">
        <v>195</v>
      </c>
      <c r="B23" s="10" t="n">
        <f aca="false">printed_headline</f>
        <v>159</v>
      </c>
    </row>
    <row r="24" customFormat="false" ht="15" hidden="false" customHeight="false" outlineLevel="0" collapsed="false">
      <c r="A24" s="0" t="s">
        <v>196</v>
      </c>
      <c r="B24" s="10" t="n">
        <f aca="false">(printed_m1+printed_m2+printed_m3)/3</f>
        <v>156.666666666667</v>
      </c>
      <c r="C24" s="2" t="s">
        <v>197</v>
      </c>
    </row>
    <row r="25" customFormat="false" ht="15" hidden="false" customHeight="false" outlineLevel="0" collapsed="false">
      <c r="A25" s="0" t="s">
        <v>198</v>
      </c>
      <c r="B25" s="10" t="n">
        <f aca="false">0.25*headline</f>
        <v>39.6517579794338</v>
      </c>
    </row>
    <row r="26" customFormat="false" ht="15" hidden="false" customHeight="false" outlineLevel="0" collapsed="false">
      <c r="A26" s="0" t="s">
        <v>199</v>
      </c>
      <c r="B26" s="10" t="n">
        <f aca="false">0.25*printed_m3</f>
        <v>32.5</v>
      </c>
      <c r="C26" s="2" t="s">
        <v>200</v>
      </c>
    </row>
    <row r="27" customFormat="false" ht="15" hidden="false" customHeight="false" outlineLevel="0" collapsed="false">
      <c r="B27" s="10" t="n">
        <f aca="false">0.25*printed_m1</f>
        <v>47.5</v>
      </c>
      <c r="C27" s="2"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4" min="3" style="0" width="18"/>
    <col collapsed="false" customWidth="true" hidden="false" outlineLevel="0" max="5" min="5" style="0" width="14"/>
    <col collapsed="false" customWidth="true" hidden="false" outlineLevel="0" max="6" min="6" style="0" width="80"/>
  </cols>
  <sheetData>
    <row r="1" customFormat="false" ht="15" hidden="false" customHeight="false" outlineLevel="0" collapsed="false">
      <c r="A1" s="3" t="s">
        <v>202</v>
      </c>
      <c r="B1" s="3" t="s">
        <v>203</v>
      </c>
      <c r="C1" s="3" t="s">
        <v>204</v>
      </c>
      <c r="D1" s="3" t="s">
        <v>205</v>
      </c>
      <c r="E1" s="3" t="s">
        <v>206</v>
      </c>
      <c r="F1" s="3" t="s">
        <v>19</v>
      </c>
    </row>
    <row r="3" customFormat="false" ht="15" hidden="false" customHeight="false" outlineLevel="0" collapsed="false">
      <c r="A3" s="0" t="s">
        <v>207</v>
      </c>
      <c r="B3" s="0" t="s">
        <v>208</v>
      </c>
      <c r="C3" s="13" t="n">
        <f aca="false">cw_workers*fte*cw_salary/1000000000</f>
        <v>5.655</v>
      </c>
      <c r="D3" s="4" t="n">
        <v>6</v>
      </c>
      <c r="E3" s="13" t="n">
        <f aca="false">C3-D3</f>
        <v>-0.345</v>
      </c>
      <c r="F3" s="2"/>
    </row>
    <row r="4" customFormat="false" ht="15" hidden="false" customHeight="false" outlineLevel="0" collapsed="false">
      <c r="A4" s="0" t="s">
        <v>209</v>
      </c>
      <c r="B4" s="0" t="s">
        <v>210</v>
      </c>
      <c r="C4" s="13" t="n">
        <f aca="false">C3*(oh_mult-1)</f>
        <v>4.24125</v>
      </c>
      <c r="D4" s="4" t="n">
        <v>4</v>
      </c>
      <c r="E4" s="13" t="n">
        <f aca="false">C4-D4</f>
        <v>0.24125</v>
      </c>
      <c r="F4" s="2" t="s">
        <v>211</v>
      </c>
    </row>
    <row r="5" customFormat="false" ht="15" hidden="false" customHeight="false" outlineLevel="0" collapsed="false">
      <c r="A5" s="0" t="s">
        <v>212</v>
      </c>
      <c r="B5" s="0" t="s">
        <v>213</v>
      </c>
      <c r="C5" s="13" t="n">
        <f aca="false">il_workers*fte*il_salary*il_share/1000000000</f>
        <v>0.9729</v>
      </c>
      <c r="D5" s="4" t="n">
        <v>1</v>
      </c>
      <c r="E5" s="13" t="n">
        <f aca="false">C5-D5</f>
        <v>-0.0271</v>
      </c>
      <c r="F5" s="2"/>
    </row>
    <row r="6" customFormat="false" ht="15" hidden="false" customHeight="false" outlineLevel="0" collapsed="false">
      <c r="A6" s="0" t="s">
        <v>214</v>
      </c>
      <c r="B6" s="0" t="s">
        <v>215</v>
      </c>
      <c r="C6" s="13" t="n">
        <f aca="false">ia_workers*fte*ia_salary*ia_share/1000000000</f>
        <v>0.9142875</v>
      </c>
      <c r="D6" s="4" t="n">
        <v>1</v>
      </c>
      <c r="E6" s="13" t="n">
        <f aca="false">C6-D6</f>
        <v>-0.0857125</v>
      </c>
      <c r="F6" s="2"/>
    </row>
    <row r="7" customFormat="false" ht="15" hidden="false" customHeight="false" outlineLevel="0" collapsed="false">
      <c r="A7" s="0" t="s">
        <v>216</v>
      </c>
      <c r="B7" s="0" t="s">
        <v>217</v>
      </c>
      <c r="C7" s="13" t="n">
        <f aca="false">(C5+C6)*(oh_mult-1)</f>
        <v>1.415390625</v>
      </c>
      <c r="D7" s="4" t="n">
        <v>1.5</v>
      </c>
      <c r="E7" s="13" t="n">
        <f aca="false">C7-D7</f>
        <v>-0.0846093749999999</v>
      </c>
      <c r="F7" s="2"/>
    </row>
    <row r="8" customFormat="false" ht="28.35" hidden="false" customHeight="false" outlineLevel="0" collapsed="false">
      <c r="A8" s="0" t="s">
        <v>218</v>
      </c>
      <c r="B8" s="0" t="s">
        <v>219</v>
      </c>
      <c r="C8" s="13" t="n">
        <f aca="false">(os_hours*os_workers-os_excl)*os_wage/1000000000</f>
        <v>58.5531</v>
      </c>
      <c r="D8" s="4" t="n">
        <v>58</v>
      </c>
      <c r="E8" s="13" t="n">
        <f aca="false">C8-D8</f>
        <v>0.553100000000001</v>
      </c>
      <c r="F8" s="2" t="s">
        <v>220</v>
      </c>
    </row>
    <row r="9" customFormat="false" ht="15" hidden="false" customHeight="false" outlineLevel="0" collapsed="false">
      <c r="A9" s="0" t="s">
        <v>221</v>
      </c>
      <c r="B9" s="0" t="s">
        <v>222</v>
      </c>
      <c r="C9" s="13" t="n">
        <f aca="false">C8*(oh_mult-1)</f>
        <v>43.914825</v>
      </c>
      <c r="D9" s="4" t="n">
        <v>44</v>
      </c>
      <c r="E9" s="13" t="n">
        <f aca="false">C9-D9</f>
        <v>-0.0851749999999996</v>
      </c>
      <c r="F9" s="2" t="s">
        <v>223</v>
      </c>
    </row>
    <row r="10" customFormat="false" ht="15" hidden="false" customHeight="false" outlineLevel="0" collapsed="false">
      <c r="A10" s="0" t="s">
        <v>224</v>
      </c>
      <c r="B10" s="0" t="s">
        <v>225</v>
      </c>
      <c r="C10" s="13" t="n">
        <f aca="false">it_spend*it_share</f>
        <v>40.5</v>
      </c>
      <c r="D10" s="4" t="n">
        <v>41</v>
      </c>
      <c r="E10" s="13" t="n">
        <f aca="false">C10-D10</f>
        <v>-0.5</v>
      </c>
      <c r="F10" s="2" t="s">
        <v>226</v>
      </c>
    </row>
    <row r="11" customFormat="false" ht="15" hidden="false" customHeight="false" outlineLevel="0" collapsed="false">
      <c r="A11" s="0" t="s">
        <v>227</v>
      </c>
      <c r="B11" s="0" t="s">
        <v>228</v>
      </c>
      <c r="C11" s="13" t="n">
        <f aca="false">el_workers*fte*el_rev*el_share/1000000000</f>
        <v>3.69495</v>
      </c>
      <c r="D11" s="4" t="n">
        <v>4</v>
      </c>
      <c r="E11" s="13" t="n">
        <f aca="false">C11-D11</f>
        <v>-0.30505</v>
      </c>
      <c r="F11" s="2"/>
    </row>
    <row r="12" customFormat="false" ht="15" hidden="false" customHeight="false" outlineLevel="0" collapsed="false">
      <c r="A12" s="0" t="s">
        <v>229</v>
      </c>
      <c r="B12" s="0" t="s">
        <v>230</v>
      </c>
      <c r="C12" s="13" t="n">
        <f aca="false">ea_fees/ea_div*ea_share</f>
        <v>0.453705128205128</v>
      </c>
      <c r="D12" s="4" t="n">
        <v>0.4</v>
      </c>
      <c r="E12" s="13" t="n">
        <f aca="false">C12-D12</f>
        <v>0.0537051282051281</v>
      </c>
      <c r="F12" s="2"/>
    </row>
    <row r="13" customFormat="false" ht="15" hidden="false" customHeight="false" outlineLevel="0" collapsed="false">
      <c r="A13" s="9" t="s">
        <v>231</v>
      </c>
      <c r="C13" s="12" t="n">
        <f aca="false">SUM(C3:C12)</f>
        <v>160.315408253205</v>
      </c>
      <c r="D13" s="12" t="n">
        <f aca="false">SUM(D3:D12)</f>
        <v>160.9</v>
      </c>
      <c r="E13" s="12" t="n">
        <f aca="false">SUM(E3:E12)</f>
        <v>-0.584591746794871</v>
      </c>
    </row>
    <row r="14" customFormat="false" ht="15" hidden="false" customHeight="false" outlineLevel="0" collapsed="false">
      <c r="A14" s="0" t="s">
        <v>232</v>
      </c>
      <c r="C14" s="10" t="n">
        <f aca="false">m3_state</f>
        <v>27</v>
      </c>
      <c r="D14" s="4" t="n">
        <v>27</v>
      </c>
      <c r="E14" s="10" t="n">
        <f aca="false">C14-D14</f>
        <v>0</v>
      </c>
    </row>
    <row r="15" customFormat="false" ht="15" hidden="false" customHeight="false" outlineLevel="0" collapsed="false">
      <c r="A15" s="9" t="s">
        <v>233</v>
      </c>
      <c r="C15" s="10" t="n">
        <f aca="false">C13-C14</f>
        <v>133.315408253205</v>
      </c>
      <c r="D15" s="10" t="n">
        <f aca="false">D13-D14</f>
        <v>133.9</v>
      </c>
      <c r="E15" s="10" t="n">
        <f aca="false">C15-D15</f>
        <v>-0.584591746794899</v>
      </c>
      <c r="F15" s="5" t="s">
        <v>234</v>
      </c>
    </row>
    <row r="16" customFormat="false" ht="15" hidden="false" customHeight="false" outlineLevel="0" collapsed="false">
      <c r="A16" s="0" t="s">
        <v>235</v>
      </c>
      <c r="D16" s="0" t="n">
        <f aca="false">printed_m3</f>
        <v>130</v>
      </c>
    </row>
    <row r="18" customFormat="false" ht="15" hidden="false" customHeight="false" outlineLevel="0" collapsed="false">
      <c r="A18" s="9" t="s">
        <v>236</v>
      </c>
      <c r="C18" s="14" t="n">
        <f aca="false">(C8+C9)/C13</f>
        <v>0.639164545170607</v>
      </c>
    </row>
    <row r="19" customFormat="false" ht="15" hidden="false" customHeight="false" outlineLevel="0" collapsed="false">
      <c r="A19" s="0" t="s">
        <v>237</v>
      </c>
      <c r="C19" s="10" t="n">
        <f aca="false">((printed_m3+m3_state-(C13-C8-C9))/(os_wage/1000000000*oh_mult)+os_excl)/os_workers</f>
        <v>84.4022775238839</v>
      </c>
      <c r="F19" s="5"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1" min="2" style="0" width="20"/>
  </cols>
  <sheetData>
    <row r="1" customFormat="false" ht="48" hidden="false" customHeight="true" outlineLevel="0" collapsed="false">
      <c r="A1" s="9" t="s">
        <v>239</v>
      </c>
      <c r="B1" s="15" t="s">
        <v>240</v>
      </c>
      <c r="C1" s="15" t="s">
        <v>241</v>
      </c>
      <c r="D1" s="15" t="s">
        <v>242</v>
      </c>
      <c r="E1" s="15" t="s">
        <v>243</v>
      </c>
      <c r="F1" s="15" t="s">
        <v>244</v>
      </c>
      <c r="G1" s="15" t="s">
        <v>245</v>
      </c>
      <c r="H1" s="15" t="s">
        <v>246</v>
      </c>
      <c r="I1" s="15" t="s">
        <v>247</v>
      </c>
      <c r="J1" s="15" t="s">
        <v>248</v>
      </c>
      <c r="K1" s="15" t="s">
        <v>249</v>
      </c>
    </row>
    <row r="2" customFormat="false" ht="15" hidden="false" customHeight="false" outlineLevel="0" collapsed="false">
      <c r="A2" s="0" t="s">
        <v>250</v>
      </c>
      <c r="B2" s="11" t="n">
        <f aca="false">d_base_proj</f>
        <v>113.4</v>
      </c>
      <c r="C2" s="11" t="n">
        <f aca="false">d_base_proj</f>
        <v>113.4</v>
      </c>
      <c r="D2" s="11" t="n">
        <f aca="false">d_base_proj</f>
        <v>113.4</v>
      </c>
      <c r="E2" s="11" t="n">
        <f aca="false">d_base_proj</f>
        <v>113.4</v>
      </c>
      <c r="F2" s="11" t="n">
        <f aca="false">d_base_proj</f>
        <v>113.4</v>
      </c>
      <c r="G2" s="11" t="n">
        <f aca="false">d_base_proj</f>
        <v>113.4</v>
      </c>
      <c r="H2" s="11" t="n">
        <f aca="false">d_base_proj</f>
        <v>113.4</v>
      </c>
      <c r="I2" s="11" t="n">
        <f aca="false">d_base_proj</f>
        <v>113.4</v>
      </c>
      <c r="J2" s="11" t="n">
        <f aca="false">d_base_proj</f>
        <v>113.4</v>
      </c>
      <c r="K2" s="11" t="n">
        <f aca="false">d_base_proj</f>
        <v>113.4</v>
      </c>
    </row>
    <row r="3" customFormat="false" ht="15" hidden="false" customHeight="false" outlineLevel="0" collapsed="false">
      <c r="A3" s="0" t="s">
        <v>251</v>
      </c>
      <c r="B3" s="11" t="n">
        <f aca="false">d_vol_mult</f>
        <v>1.24375</v>
      </c>
      <c r="C3" s="11" t="n">
        <f aca="false">d_vol_mult</f>
        <v>1.24375</v>
      </c>
      <c r="D3" s="11" t="n">
        <f aca="false">d_vol_mult</f>
        <v>1.24375</v>
      </c>
      <c r="E3" s="11" t="n">
        <f aca="false">d_vol_mult</f>
        <v>1.24375</v>
      </c>
      <c r="F3" s="11" t="n">
        <f aca="false">d_vol_mult</f>
        <v>1.24375</v>
      </c>
      <c r="G3" s="11" t="n">
        <f aca="false">d_vol_mult</f>
        <v>1.24375</v>
      </c>
      <c r="H3" s="11" t="n">
        <f aca="false">d_vol_mult</f>
        <v>1.24375</v>
      </c>
      <c r="I3" s="11" t="n">
        <f aca="false">d_vol_mult</f>
        <v>1.24375</v>
      </c>
      <c r="J3" s="11" t="n">
        <f aca="false">d_vol_mult</f>
        <v>1.24375</v>
      </c>
      <c r="K3" s="11" t="n">
        <f aca="false">d_vol_mult</f>
        <v>1.24375</v>
      </c>
    </row>
    <row r="4" customFormat="false" ht="15" hidden="false" customHeight="false" outlineLevel="0" collapsed="false">
      <c r="A4" s="0" t="s">
        <v>252</v>
      </c>
      <c r="B4" s="11" t="n">
        <f aca="false">d_cx_mult</f>
        <v>1.35</v>
      </c>
      <c r="C4" s="16" t="n">
        <f aca="false">1+AVERAGE(cx_structural,cx_penalty,cx_defined,cx_instruments,cx_interconnect)</f>
        <v>1.138</v>
      </c>
      <c r="D4" s="16" t="n">
        <f aca="false">1+MEDIAN(cx_notional,cx_structural,cx_penalty,cx_defined,cx_instruments,cx_interconnect)</f>
        <v>1.225</v>
      </c>
      <c r="E4" s="16" t="n">
        <v>1</v>
      </c>
      <c r="F4" s="11" t="n">
        <f aca="false">d_cx_mult</f>
        <v>1.35</v>
      </c>
      <c r="G4" s="11" t="n">
        <f aca="false">d_cx_mult</f>
        <v>1.35</v>
      </c>
      <c r="H4" s="11" t="n">
        <f aca="false">d_cx_mult</f>
        <v>1.35</v>
      </c>
      <c r="I4" s="11" t="n">
        <f aca="false">d_cx_mult</f>
        <v>1.35</v>
      </c>
      <c r="J4" s="11" t="n">
        <f aca="false">d_cx_mult</f>
        <v>1.35</v>
      </c>
      <c r="K4" s="16" t="n">
        <f aca="false">1+AVERAGE(cx_structural,cx_penalty,cx_defined,cx_instruments,cx_interconnect)</f>
        <v>1.138</v>
      </c>
    </row>
    <row r="5" customFormat="false" ht="15" hidden="false" customHeight="false" outlineLevel="0" collapsed="false">
      <c r="A5" s="0" t="s">
        <v>172</v>
      </c>
      <c r="B5" s="11" t="n">
        <f aca="false">d_cpi_mult</f>
        <v>1.35</v>
      </c>
      <c r="C5" s="11" t="n">
        <f aca="false">d_cpi_mult</f>
        <v>1.35</v>
      </c>
      <c r="D5" s="11" t="n">
        <f aca="false">d_cpi_mult</f>
        <v>1.35</v>
      </c>
      <c r="E5" s="11" t="n">
        <f aca="false">d_cpi_mult</f>
        <v>1.35</v>
      </c>
      <c r="F5" s="11" t="n">
        <f aca="false">d_cpi_mult</f>
        <v>1.35</v>
      </c>
      <c r="G5" s="11" t="n">
        <f aca="false">d_cpi_mult</f>
        <v>1.35</v>
      </c>
      <c r="H5" s="11" t="n">
        <f aca="false">d_cpi_mult</f>
        <v>1.35</v>
      </c>
      <c r="I5" s="11" t="n">
        <f aca="false">d_cpi_mult</f>
        <v>1.35</v>
      </c>
      <c r="J5" s="11" t="n">
        <f aca="false">d_cpi_mult</f>
        <v>1.35</v>
      </c>
      <c r="K5" s="11" t="n">
        <f aca="false">d_cpi_mult</f>
        <v>1.35</v>
      </c>
    </row>
    <row r="6" customFormat="false" ht="15" hidden="false" customHeight="false" outlineLevel="0" collapsed="false">
      <c r="A6" s="0" t="s">
        <v>253</v>
      </c>
      <c r="B6" s="11" t="n">
        <f aca="false">d_role_mult</f>
        <v>1.73333333333333</v>
      </c>
      <c r="C6" s="11" t="n">
        <f aca="false">d_role_mult</f>
        <v>1.73333333333333</v>
      </c>
      <c r="D6" s="11" t="n">
        <f aca="false">d_role_mult</f>
        <v>1.73333333333333</v>
      </c>
      <c r="E6" s="11" t="n">
        <f aca="false">d_role_mult</f>
        <v>1.73333333333333</v>
      </c>
      <c r="F6" s="16" t="n">
        <f aca="false">d_role_mult/(1+emp_growth)</f>
        <v>1.33333333333333</v>
      </c>
      <c r="G6" s="11" t="n">
        <f aca="false">d_role_mult</f>
        <v>1.73333333333333</v>
      </c>
      <c r="H6" s="11" t="n">
        <f aca="false">d_role_mult</f>
        <v>1.73333333333333</v>
      </c>
      <c r="I6" s="11" t="n">
        <f aca="false">d_role_mult</f>
        <v>1.73333333333333</v>
      </c>
      <c r="J6" s="11" t="n">
        <f aca="false">d_role_mult</f>
        <v>1.73333333333333</v>
      </c>
      <c r="K6" s="16" t="n">
        <f aca="false">d_role_mult/(1+emp_growth)</f>
        <v>1.33333333333333</v>
      </c>
    </row>
    <row r="7" customFormat="false" ht="15" hidden="false" customHeight="false" outlineLevel="0" collapsed="false">
      <c r="A7" s="0" t="s">
        <v>254</v>
      </c>
      <c r="B7" s="11" t="n">
        <f aca="false">base_2013</f>
        <v>65</v>
      </c>
      <c r="C7" s="11" t="n">
        <f aca="false">base_2013</f>
        <v>65</v>
      </c>
      <c r="D7" s="11" t="n">
        <f aca="false">base_2013</f>
        <v>65</v>
      </c>
      <c r="E7" s="11" t="n">
        <f aca="false">base_2013</f>
        <v>65</v>
      </c>
      <c r="F7" s="11" t="n">
        <f aca="false">base_2013</f>
        <v>65</v>
      </c>
      <c r="G7" s="11" t="n">
        <f aca="false">base_2013</f>
        <v>65</v>
      </c>
      <c r="H7" s="11" t="n">
        <f aca="false">base_2013</f>
        <v>65</v>
      </c>
      <c r="I7" s="11" t="n">
        <f aca="false">base_2013</f>
        <v>65</v>
      </c>
      <c r="J7" s="11" t="n">
        <f aca="false">base_2013</f>
        <v>65</v>
      </c>
      <c r="K7" s="11" t="n">
        <f aca="false">base_2013</f>
        <v>65</v>
      </c>
    </row>
    <row r="8" customFormat="false" ht="15" hidden="false" customHeight="false" outlineLevel="0" collapsed="false">
      <c r="A8" s="0" t="s">
        <v>255</v>
      </c>
      <c r="B8" s="11" t="n">
        <f aca="false">os_hours</f>
        <v>87</v>
      </c>
      <c r="C8" s="11" t="n">
        <f aca="false">os_hours</f>
        <v>87</v>
      </c>
      <c r="D8" s="11" t="n">
        <f aca="false">os_hours</f>
        <v>87</v>
      </c>
      <c r="E8" s="11" t="n">
        <f aca="false">os_hours</f>
        <v>87</v>
      </c>
      <c r="F8" s="11" t="n">
        <f aca="false">os_hours</f>
        <v>87</v>
      </c>
      <c r="G8" s="16" t="n">
        <v>60</v>
      </c>
      <c r="H8" s="16" t="n">
        <v>40</v>
      </c>
      <c r="I8" s="11" t="n">
        <f aca="false">os_hours</f>
        <v>87</v>
      </c>
      <c r="J8" s="11" t="n">
        <f aca="false">os_hours</f>
        <v>87</v>
      </c>
      <c r="K8" s="16" t="n">
        <v>60</v>
      </c>
    </row>
    <row r="9" customFormat="false" ht="15" hidden="false" customHeight="false" outlineLevel="0" collapsed="false">
      <c r="A9" s="0" t="s">
        <v>256</v>
      </c>
      <c r="B9" s="11" t="n">
        <f aca="false">oh_mult</f>
        <v>1.75</v>
      </c>
      <c r="C9" s="11" t="n">
        <f aca="false">oh_mult</f>
        <v>1.75</v>
      </c>
      <c r="D9" s="11" t="n">
        <f aca="false">oh_mult</f>
        <v>1.75</v>
      </c>
      <c r="E9" s="11" t="n">
        <f aca="false">oh_mult</f>
        <v>1.75</v>
      </c>
      <c r="F9" s="11" t="n">
        <f aca="false">oh_mult</f>
        <v>1.75</v>
      </c>
      <c r="G9" s="11" t="n">
        <f aca="false">oh_mult</f>
        <v>1.75</v>
      </c>
      <c r="H9" s="11" t="n">
        <f aca="false">oh_mult</f>
        <v>1.75</v>
      </c>
      <c r="I9" s="16" t="n">
        <v>1</v>
      </c>
      <c r="J9" s="11" t="n">
        <f aca="false">oh_mult</f>
        <v>1.75</v>
      </c>
      <c r="K9" s="11" t="n">
        <f aca="false">oh_mult</f>
        <v>1.75</v>
      </c>
    </row>
    <row r="10" customFormat="false" ht="15" hidden="false" customHeight="false" outlineLevel="0" collapsed="false">
      <c r="A10" s="0" t="s">
        <v>257</v>
      </c>
      <c r="B10" s="11" t="n">
        <f aca="false">it_share</f>
        <v>0.3</v>
      </c>
      <c r="C10" s="11" t="n">
        <f aca="false">it_share</f>
        <v>0.3</v>
      </c>
      <c r="D10" s="11" t="n">
        <f aca="false">it_share</f>
        <v>0.3</v>
      </c>
      <c r="E10" s="11" t="n">
        <f aca="false">it_share</f>
        <v>0.3</v>
      </c>
      <c r="F10" s="11" t="n">
        <f aca="false">it_share</f>
        <v>0.3</v>
      </c>
      <c r="G10" s="11" t="n">
        <f aca="false">it_share</f>
        <v>0.3</v>
      </c>
      <c r="H10" s="11" t="n">
        <f aca="false">it_share</f>
        <v>0.3</v>
      </c>
      <c r="I10" s="11" t="n">
        <f aca="false">it_share</f>
        <v>0.3</v>
      </c>
      <c r="J10" s="16" t="n">
        <v>0.24</v>
      </c>
      <c r="K10" s="16" t="n">
        <v>0.24</v>
      </c>
    </row>
    <row r="12" customFormat="false" ht="15" hidden="false" customHeight="false" outlineLevel="0" collapsed="false">
      <c r="A12" s="9" t="s">
        <v>258</v>
      </c>
      <c r="B12" s="10" t="n">
        <f aca="false">B2*B3*B4</f>
        <v>190.4056875</v>
      </c>
      <c r="C12" s="10" t="n">
        <f aca="false">C2*C3*C4</f>
        <v>160.5049425</v>
      </c>
      <c r="D12" s="10" t="n">
        <f aca="false">D2*D3*D4</f>
        <v>172.77553125</v>
      </c>
      <c r="E12" s="10" t="n">
        <f aca="false">E2*E3*E4</f>
        <v>141.04125</v>
      </c>
      <c r="F12" s="10" t="n">
        <f aca="false">F2*F3*F4</f>
        <v>190.4056875</v>
      </c>
      <c r="G12" s="10" t="n">
        <f aca="false">G2*G3*G4</f>
        <v>190.4056875</v>
      </c>
      <c r="H12" s="10" t="n">
        <f aca="false">H2*H3*H4</f>
        <v>190.4056875</v>
      </c>
      <c r="I12" s="10" t="n">
        <f aca="false">I2*I3*I4</f>
        <v>190.4056875</v>
      </c>
      <c r="J12" s="10" t="n">
        <f aca="false">J2*J3*J4</f>
        <v>190.4056875</v>
      </c>
      <c r="K12" s="10" t="n">
        <f aca="false">K2*K3*K4</f>
        <v>160.5049425</v>
      </c>
    </row>
    <row r="13" customFormat="false" ht="15" hidden="false" customHeight="false" outlineLevel="0" collapsed="false">
      <c r="A13" s="9" t="s">
        <v>259</v>
      </c>
      <c r="B13" s="10" t="n">
        <f aca="false">B7*B5*B6</f>
        <v>152.1</v>
      </c>
      <c r="C13" s="10" t="n">
        <f aca="false">C7*C5*C6</f>
        <v>152.1</v>
      </c>
      <c r="D13" s="10" t="n">
        <f aca="false">D7*D5*D6</f>
        <v>152.1</v>
      </c>
      <c r="E13" s="10" t="n">
        <f aca="false">E7*E5*E6</f>
        <v>152.1</v>
      </c>
      <c r="F13" s="10" t="n">
        <f aca="false">F7*F5*F6</f>
        <v>117</v>
      </c>
      <c r="G13" s="10" t="n">
        <f aca="false">G7*G5*G6</f>
        <v>152.1</v>
      </c>
      <c r="H13" s="10" t="n">
        <f aca="false">H7*H5*H6</f>
        <v>152.1</v>
      </c>
      <c r="I13" s="10" t="n">
        <f aca="false">I7*I5*I6</f>
        <v>152.1</v>
      </c>
      <c r="J13" s="10" t="n">
        <f aca="false">J7*J5*J6</f>
        <v>152.1</v>
      </c>
      <c r="K13" s="10" t="n">
        <f aca="false">K7*K5*K6</f>
        <v>117</v>
      </c>
    </row>
    <row r="14" customFormat="false" ht="15" hidden="false" customHeight="false" outlineLevel="0" collapsed="false">
      <c r="A14" s="9" t="s">
        <v>260</v>
      </c>
      <c r="B14" s="10" t="n">
        <f aca="false">m3_fixed+(B8*os_workers-os_excl)*os_wage/1000000000*B9+it_spend*B10-m3_state</f>
        <v>133.315408253205</v>
      </c>
      <c r="C14" s="10" t="n">
        <f aca="false">m3_fixed+(C8*os_workers-os_excl)*os_wage/1000000000*C9+it_spend*C10-m3_state</f>
        <v>133.315408253205</v>
      </c>
      <c r="D14" s="10" t="n">
        <f aca="false">m3_fixed+(D8*os_workers-os_excl)*os_wage/1000000000*D9+it_spend*D10-m3_state</f>
        <v>133.315408253205</v>
      </c>
      <c r="E14" s="10" t="n">
        <f aca="false">m3_fixed+(E8*os_workers-os_excl)*os_wage/1000000000*E9+it_spend*E10-m3_state</f>
        <v>133.315408253205</v>
      </c>
      <c r="F14" s="10" t="n">
        <f aca="false">m3_fixed+(F8*os_workers-os_excl)*os_wage/1000000000*F9+it_spend*F10-m3_state</f>
        <v>133.315408253205</v>
      </c>
      <c r="G14" s="10" t="n">
        <f aca="false">m3_fixed+(G8*os_workers-os_excl)*os_wage/1000000000*G9+it_spend*G10-m3_state</f>
        <v>98.8559832532051</v>
      </c>
      <c r="H14" s="10" t="n">
        <f aca="false">m3_fixed+(H8*os_workers-os_excl)*os_wage/1000000000*H9+it_spend*H10-m3_state</f>
        <v>73.3304832532051</v>
      </c>
      <c r="I14" s="10" t="n">
        <f aca="false">m3_fixed+(I8*os_workers-os_excl)*os_wage/1000000000*I9+it_spend*I10-m3_state</f>
        <v>89.4005832532051</v>
      </c>
      <c r="J14" s="10" t="n">
        <f aca="false">m3_fixed+(J8*os_workers-os_excl)*os_wage/1000000000*J9+it_spend*J10-m3_state</f>
        <v>125.215408253205</v>
      </c>
      <c r="K14" s="10" t="n">
        <f aca="false">m3_fixed+(K8*os_workers-os_excl)*os_wage/1000000000*K9+it_spend*K10-m3_state</f>
        <v>90.7559832532051</v>
      </c>
    </row>
    <row r="15" customFormat="false" ht="15" hidden="false" customHeight="false" outlineLevel="0" collapsed="false">
      <c r="A15" s="9" t="s">
        <v>192</v>
      </c>
      <c r="B15" s="12" t="n">
        <f aca="false">AVERAGE(B12:B14)</f>
        <v>158.607031917735</v>
      </c>
      <c r="C15" s="12" t="n">
        <f aca="false">AVERAGE(C12:C14)</f>
        <v>148.640116917735</v>
      </c>
      <c r="D15" s="12" t="n">
        <f aca="false">AVERAGE(D12:D14)</f>
        <v>152.730313167735</v>
      </c>
      <c r="E15" s="12" t="n">
        <f aca="false">AVERAGE(E12:E14)</f>
        <v>142.152219417735</v>
      </c>
      <c r="F15" s="12" t="n">
        <f aca="false">AVERAGE(F12:F14)</f>
        <v>146.907031917735</v>
      </c>
      <c r="G15" s="12" t="n">
        <f aca="false">AVERAGE(G12:G14)</f>
        <v>147.120556917735</v>
      </c>
      <c r="H15" s="12" t="n">
        <f aca="false">AVERAGE(H12:H14)</f>
        <v>138.612056917735</v>
      </c>
      <c r="I15" s="12" t="n">
        <f aca="false">AVERAGE(I12:I14)</f>
        <v>143.968756917735</v>
      </c>
      <c r="J15" s="12" t="n">
        <f aca="false">AVERAGE(J12:J14)</f>
        <v>155.907031917735</v>
      </c>
      <c r="K15" s="12" t="n">
        <f aca="false">AVERAGE(K12:K14)</f>
        <v>122.753641917735</v>
      </c>
    </row>
    <row r="16" customFormat="false" ht="15" hidden="false" customHeight="false" outlineLevel="0" collapsed="false">
      <c r="A16" s="9" t="s">
        <v>261</v>
      </c>
      <c r="B16" s="10" t="n">
        <f aca="false">B15-printed_headline</f>
        <v>-0.392968082264957</v>
      </c>
      <c r="C16" s="10" t="n">
        <f aca="false">C15-printed_headline</f>
        <v>-10.359883082265</v>
      </c>
      <c r="D16" s="10" t="n">
        <f aca="false">D15-printed_headline</f>
        <v>-6.26968683226497</v>
      </c>
      <c r="E16" s="10" t="n">
        <f aca="false">E15-printed_headline</f>
        <v>-16.847780582265</v>
      </c>
      <c r="F16" s="10" t="n">
        <f aca="false">F15-printed_headline</f>
        <v>-12.0929680822649</v>
      </c>
      <c r="G16" s="10" t="n">
        <f aca="false">G15-printed_headline</f>
        <v>-11.879443082265</v>
      </c>
      <c r="H16" s="10" t="n">
        <f aca="false">H15-printed_headline</f>
        <v>-20.387943082265</v>
      </c>
      <c r="I16" s="10" t="n">
        <f aca="false">I15-printed_headline</f>
        <v>-15.031243082265</v>
      </c>
      <c r="J16" s="10" t="n">
        <f aca="false">J15-printed_headline</f>
        <v>-3.09296808226495</v>
      </c>
      <c r="K16" s="10" t="n">
        <f aca="false">K15-printed_headline</f>
        <v>-36.246358082265</v>
      </c>
    </row>
    <row r="17" customFormat="false" ht="15" hidden="false" customHeight="false" outlineLevel="0" collapsed="false">
      <c r="A17" s="9" t="s">
        <v>262</v>
      </c>
      <c r="B17" s="10" t="n">
        <f aca="false">0.25*B15</f>
        <v>39.6517579794338</v>
      </c>
      <c r="C17" s="10" t="n">
        <f aca="false">0.25*C15</f>
        <v>37.1600292294338</v>
      </c>
      <c r="D17" s="10" t="n">
        <f aca="false">0.25*D15</f>
        <v>38.1825782919338</v>
      </c>
      <c r="E17" s="10" t="n">
        <f aca="false">0.25*E15</f>
        <v>35.5380548544338</v>
      </c>
      <c r="F17" s="10" t="n">
        <f aca="false">0.25*F15</f>
        <v>36.7267579794338</v>
      </c>
      <c r="G17" s="10" t="n">
        <f aca="false">0.25*G15</f>
        <v>36.7801392294338</v>
      </c>
      <c r="H17" s="10" t="n">
        <f aca="false">0.25*H15</f>
        <v>34.6530142294338</v>
      </c>
      <c r="I17" s="10" t="n">
        <f aca="false">0.25*I15</f>
        <v>35.9921892294338</v>
      </c>
      <c r="J17" s="10" t="n">
        <f aca="false">0.25*J15</f>
        <v>38.9767579794338</v>
      </c>
      <c r="K17" s="10" t="n">
        <f aca="false">0.25*K15</f>
        <v>30.6884104794338</v>
      </c>
    </row>
    <row r="19" customFormat="false" ht="55.2" hidden="false" customHeight="false" outlineLevel="0" collapsed="false">
      <c r="A19" s="2"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8" min="2" style="0" width="16"/>
  </cols>
  <sheetData>
    <row r="1" customFormat="false" ht="15" hidden="false" customHeight="false" outlineLevel="0" collapsed="false">
      <c r="A1" s="0" t="s">
        <v>264</v>
      </c>
      <c r="B1" s="17" t="n">
        <v>0.2</v>
      </c>
    </row>
    <row r="3" customFormat="false" ht="60" hidden="false" customHeight="true" outlineLevel="0" collapsed="false">
      <c r="A3" s="9" t="s">
        <v>265</v>
      </c>
      <c r="B3" s="15" t="s">
        <v>266</v>
      </c>
      <c r="C3" s="15" t="s">
        <v>267</v>
      </c>
      <c r="D3" s="15" t="s">
        <v>268</v>
      </c>
      <c r="E3" s="15" t="s">
        <v>269</v>
      </c>
      <c r="F3" s="15" t="s">
        <v>270</v>
      </c>
      <c r="G3" s="15" t="s">
        <v>271</v>
      </c>
      <c r="H3" s="15" t="s">
        <v>272</v>
      </c>
      <c r="I3" s="15" t="s">
        <v>273</v>
      </c>
      <c r="J3" s="15" t="s">
        <v>274</v>
      </c>
      <c r="K3" s="15" t="s">
        <v>275</v>
      </c>
      <c r="L3" s="15" t="s">
        <v>276</v>
      </c>
      <c r="M3" s="15" t="s">
        <v>277</v>
      </c>
      <c r="N3" s="15" t="s">
        <v>278</v>
      </c>
      <c r="O3" s="15" t="s">
        <v>279</v>
      </c>
      <c r="P3" s="15" t="s">
        <v>280</v>
      </c>
      <c r="Q3" s="15" t="s">
        <v>281</v>
      </c>
      <c r="R3" s="15" t="s">
        <v>282</v>
      </c>
      <c r="S3" s="15" t="s">
        <v>283</v>
      </c>
      <c r="T3" s="15" t="s">
        <v>284</v>
      </c>
      <c r="U3" s="15" t="s">
        <v>285</v>
      </c>
      <c r="V3" s="15" t="s">
        <v>286</v>
      </c>
      <c r="W3" s="15" t="s">
        <v>287</v>
      </c>
      <c r="X3" s="15" t="s">
        <v>288</v>
      </c>
      <c r="Y3" s="15" t="s">
        <v>289</v>
      </c>
      <c r="Z3" s="15" t="s">
        <v>290</v>
      </c>
      <c r="AA3" s="15" t="s">
        <v>291</v>
      </c>
      <c r="AB3" s="15" t="s">
        <v>292</v>
      </c>
    </row>
    <row r="4" customFormat="false" ht="15" hidden="false" customHeight="false" outlineLevel="0" collapsed="false">
      <c r="A4" s="0" t="s">
        <v>26</v>
      </c>
      <c r="B4" s="18" t="n">
        <f aca="false">gdp_share_2013</f>
        <v>0.042</v>
      </c>
      <c r="C4" s="19" t="n">
        <f aca="false">gdp_share_2013*(1-swing)</f>
        <v>0.0336</v>
      </c>
      <c r="D4" s="19" t="n">
        <f aca="false">gdp_share_2013*(1+swing)</f>
        <v>0.0504</v>
      </c>
      <c r="E4" s="18" t="n">
        <f aca="false">gdp_share_2013</f>
        <v>0.042</v>
      </c>
      <c r="F4" s="18" t="n">
        <f aca="false">gdp_share_2013</f>
        <v>0.042</v>
      </c>
      <c r="G4" s="18" t="n">
        <f aca="false">gdp_share_2013</f>
        <v>0.042</v>
      </c>
      <c r="H4" s="18" t="n">
        <f aca="false">gdp_share_2013</f>
        <v>0.042</v>
      </c>
      <c r="I4" s="18" t="n">
        <f aca="false">gdp_share_2013</f>
        <v>0.042</v>
      </c>
      <c r="J4" s="18" t="n">
        <f aca="false">gdp_share_2013</f>
        <v>0.042</v>
      </c>
      <c r="K4" s="18" t="n">
        <f aca="false">gdp_share_2013</f>
        <v>0.042</v>
      </c>
      <c r="L4" s="18" t="n">
        <f aca="false">gdp_share_2013</f>
        <v>0.042</v>
      </c>
      <c r="M4" s="18" t="n">
        <f aca="false">gdp_share_2013</f>
        <v>0.042</v>
      </c>
      <c r="N4" s="18" t="n">
        <f aca="false">gdp_share_2013</f>
        <v>0.042</v>
      </c>
      <c r="O4" s="18" t="n">
        <f aca="false">gdp_share_2013</f>
        <v>0.042</v>
      </c>
      <c r="P4" s="18" t="n">
        <f aca="false">gdp_share_2013</f>
        <v>0.042</v>
      </c>
      <c r="Q4" s="18" t="n">
        <f aca="false">gdp_share_2013</f>
        <v>0.042</v>
      </c>
      <c r="R4" s="18" t="n">
        <f aca="false">gdp_share_2013</f>
        <v>0.042</v>
      </c>
      <c r="S4" s="18" t="n">
        <f aca="false">gdp_share_2013</f>
        <v>0.042</v>
      </c>
      <c r="T4" s="18" t="n">
        <f aca="false">gdp_share_2013</f>
        <v>0.042</v>
      </c>
      <c r="U4" s="18" t="n">
        <f aca="false">gdp_share_2013</f>
        <v>0.042</v>
      </c>
      <c r="V4" s="18" t="n">
        <f aca="false">gdp_share_2013</f>
        <v>0.042</v>
      </c>
      <c r="W4" s="18" t="n">
        <f aca="false">gdp_share_2013</f>
        <v>0.042</v>
      </c>
      <c r="X4" s="18" t="n">
        <f aca="false">gdp_share_2013</f>
        <v>0.042</v>
      </c>
      <c r="Y4" s="18" t="n">
        <f aca="false">gdp_share_2013</f>
        <v>0.042</v>
      </c>
      <c r="Z4" s="18" t="n">
        <f aca="false">gdp_share_2013</f>
        <v>0.042</v>
      </c>
      <c r="AA4" s="18" t="n">
        <f aca="false">gdp_share_2013</f>
        <v>0.042</v>
      </c>
      <c r="AB4" s="18" t="n">
        <f aca="false">gdp_share_2013</f>
        <v>0.042</v>
      </c>
    </row>
    <row r="5" customFormat="false" ht="15" hidden="false" customHeight="false" outlineLevel="0" collapsed="false">
      <c r="A5" s="0" t="s">
        <v>20</v>
      </c>
      <c r="B5" s="18" t="n">
        <f aca="false">base_2013</f>
        <v>65</v>
      </c>
      <c r="C5" s="19" t="n">
        <f aca="false">base_2013*(1-swing)</f>
        <v>52</v>
      </c>
      <c r="D5" s="19" t="n">
        <f aca="false">base_2013*(1+swing)</f>
        <v>78</v>
      </c>
      <c r="E5" s="18" t="n">
        <f aca="false">base_2013</f>
        <v>65</v>
      </c>
      <c r="F5" s="18" t="n">
        <f aca="false">base_2013</f>
        <v>65</v>
      </c>
      <c r="G5" s="18" t="n">
        <f aca="false">base_2013</f>
        <v>65</v>
      </c>
      <c r="H5" s="18" t="n">
        <f aca="false">base_2013</f>
        <v>65</v>
      </c>
      <c r="I5" s="18" t="n">
        <f aca="false">base_2013</f>
        <v>65</v>
      </c>
      <c r="J5" s="18" t="n">
        <f aca="false">base_2013</f>
        <v>65</v>
      </c>
      <c r="K5" s="18" t="n">
        <f aca="false">base_2013</f>
        <v>65</v>
      </c>
      <c r="L5" s="18" t="n">
        <f aca="false">base_2013</f>
        <v>65</v>
      </c>
      <c r="M5" s="18" t="n">
        <f aca="false">base_2013</f>
        <v>65</v>
      </c>
      <c r="N5" s="18" t="n">
        <f aca="false">base_2013</f>
        <v>65</v>
      </c>
      <c r="O5" s="18" t="n">
        <f aca="false">base_2013</f>
        <v>65</v>
      </c>
      <c r="P5" s="18" t="n">
        <f aca="false">base_2013</f>
        <v>65</v>
      </c>
      <c r="Q5" s="18" t="n">
        <f aca="false">base_2013</f>
        <v>65</v>
      </c>
      <c r="R5" s="18" t="n">
        <f aca="false">base_2013</f>
        <v>65</v>
      </c>
      <c r="S5" s="18" t="n">
        <f aca="false">base_2013</f>
        <v>65</v>
      </c>
      <c r="T5" s="18" t="n">
        <f aca="false">base_2013</f>
        <v>65</v>
      </c>
      <c r="U5" s="18" t="n">
        <f aca="false">base_2013</f>
        <v>65</v>
      </c>
      <c r="V5" s="18" t="n">
        <f aca="false">base_2013</f>
        <v>65</v>
      </c>
      <c r="W5" s="18" t="n">
        <f aca="false">base_2013</f>
        <v>65</v>
      </c>
      <c r="X5" s="18" t="n">
        <f aca="false">base_2013</f>
        <v>65</v>
      </c>
      <c r="Y5" s="18" t="n">
        <f aca="false">base_2013</f>
        <v>65</v>
      </c>
      <c r="Z5" s="18" t="n">
        <f aca="false">base_2013</f>
        <v>65</v>
      </c>
      <c r="AA5" s="18" t="n">
        <f aca="false">base_2013</f>
        <v>65</v>
      </c>
      <c r="AB5" s="18" t="n">
        <f aca="false">base_2013</f>
        <v>65</v>
      </c>
    </row>
    <row r="6" customFormat="false" ht="15" hidden="false" customHeight="false" outlineLevel="0" collapsed="false">
      <c r="A6" s="0" t="s">
        <v>293</v>
      </c>
      <c r="B6" s="18" t="n">
        <f aca="false">d_vol_mult</f>
        <v>1.24375</v>
      </c>
      <c r="C6" s="18" t="n">
        <f aca="false">d_vol_mult</f>
        <v>1.24375</v>
      </c>
      <c r="D6" s="18" t="n">
        <f aca="false">d_vol_mult</f>
        <v>1.24375</v>
      </c>
      <c r="E6" s="19" t="n">
        <f aca="false">d_vol_mult*(1-swing)</f>
        <v>0.995</v>
      </c>
      <c r="F6" s="19" t="n">
        <f aca="false">d_vol_mult*(1+swing)</f>
        <v>1.4925</v>
      </c>
      <c r="G6" s="18" t="n">
        <f aca="false">d_vol_mult</f>
        <v>1.24375</v>
      </c>
      <c r="H6" s="18" t="n">
        <f aca="false">d_vol_mult</f>
        <v>1.24375</v>
      </c>
      <c r="I6" s="18" t="n">
        <f aca="false">d_vol_mult</f>
        <v>1.24375</v>
      </c>
      <c r="J6" s="18" t="n">
        <f aca="false">d_vol_mult</f>
        <v>1.24375</v>
      </c>
      <c r="K6" s="18" t="n">
        <f aca="false">d_vol_mult</f>
        <v>1.24375</v>
      </c>
      <c r="L6" s="18" t="n">
        <f aca="false">d_vol_mult</f>
        <v>1.24375</v>
      </c>
      <c r="M6" s="18" t="n">
        <f aca="false">d_vol_mult</f>
        <v>1.24375</v>
      </c>
      <c r="N6" s="18" t="n">
        <f aca="false">d_vol_mult</f>
        <v>1.24375</v>
      </c>
      <c r="O6" s="18" t="n">
        <f aca="false">d_vol_mult</f>
        <v>1.24375</v>
      </c>
      <c r="P6" s="18" t="n">
        <f aca="false">d_vol_mult</f>
        <v>1.24375</v>
      </c>
      <c r="Q6" s="18" t="n">
        <f aca="false">d_vol_mult</f>
        <v>1.24375</v>
      </c>
      <c r="R6" s="18" t="n">
        <f aca="false">d_vol_mult</f>
        <v>1.24375</v>
      </c>
      <c r="S6" s="18" t="n">
        <f aca="false">d_vol_mult</f>
        <v>1.24375</v>
      </c>
      <c r="T6" s="18" t="n">
        <f aca="false">d_vol_mult</f>
        <v>1.24375</v>
      </c>
      <c r="U6" s="18" t="n">
        <f aca="false">d_vol_mult</f>
        <v>1.24375</v>
      </c>
      <c r="V6" s="18" t="n">
        <f aca="false">d_vol_mult</f>
        <v>1.24375</v>
      </c>
      <c r="W6" s="18" t="n">
        <f aca="false">d_vol_mult</f>
        <v>1.24375</v>
      </c>
      <c r="X6" s="18" t="n">
        <f aca="false">d_vol_mult</f>
        <v>1.24375</v>
      </c>
      <c r="Y6" s="18" t="n">
        <f aca="false">d_vol_mult</f>
        <v>1.24375</v>
      </c>
      <c r="Z6" s="18" t="n">
        <f aca="false">d_vol_mult</f>
        <v>1.24375</v>
      </c>
      <c r="AA6" s="18" t="n">
        <f aca="false">d_vol_mult</f>
        <v>1.24375</v>
      </c>
      <c r="AB6" s="18" t="n">
        <f aca="false">d_vol_mult</f>
        <v>1.24375</v>
      </c>
    </row>
    <row r="7" customFormat="false" ht="15" hidden="false" customHeight="false" outlineLevel="0" collapsed="false">
      <c r="A7" s="0" t="s">
        <v>294</v>
      </c>
      <c r="B7" s="18" t="n">
        <f aca="false">d_cx_mult</f>
        <v>1.35</v>
      </c>
      <c r="C7" s="18" t="n">
        <f aca="false">d_cx_mult</f>
        <v>1.35</v>
      </c>
      <c r="D7" s="18" t="n">
        <f aca="false">d_cx_mult</f>
        <v>1.35</v>
      </c>
      <c r="E7" s="18" t="n">
        <f aca="false">d_cx_mult</f>
        <v>1.35</v>
      </c>
      <c r="F7" s="18" t="n">
        <f aca="false">d_cx_mult</f>
        <v>1.35</v>
      </c>
      <c r="G7" s="19" t="n">
        <f aca="false">d_cx_mult*(1-swing)</f>
        <v>1.08</v>
      </c>
      <c r="H7" s="19" t="n">
        <f aca="false">d_cx_mult*(1+swing)</f>
        <v>1.62</v>
      </c>
      <c r="I7" s="18" t="n">
        <f aca="false">d_cx_mult</f>
        <v>1.35</v>
      </c>
      <c r="J7" s="18" t="n">
        <f aca="false">d_cx_mult</f>
        <v>1.35</v>
      </c>
      <c r="K7" s="18" t="n">
        <f aca="false">d_cx_mult</f>
        <v>1.35</v>
      </c>
      <c r="L7" s="18" t="n">
        <f aca="false">d_cx_mult</f>
        <v>1.35</v>
      </c>
      <c r="M7" s="18" t="n">
        <f aca="false">d_cx_mult</f>
        <v>1.35</v>
      </c>
      <c r="N7" s="18" t="n">
        <f aca="false">d_cx_mult</f>
        <v>1.35</v>
      </c>
      <c r="O7" s="18" t="n">
        <f aca="false">d_cx_mult</f>
        <v>1.35</v>
      </c>
      <c r="P7" s="18" t="n">
        <f aca="false">d_cx_mult</f>
        <v>1.35</v>
      </c>
      <c r="Q7" s="18" t="n">
        <f aca="false">d_cx_mult</f>
        <v>1.35</v>
      </c>
      <c r="R7" s="18" t="n">
        <f aca="false">d_cx_mult</f>
        <v>1.35</v>
      </c>
      <c r="S7" s="18" t="n">
        <f aca="false">d_cx_mult</f>
        <v>1.35</v>
      </c>
      <c r="T7" s="18" t="n">
        <f aca="false">d_cx_mult</f>
        <v>1.35</v>
      </c>
      <c r="U7" s="18" t="n">
        <f aca="false">d_cx_mult</f>
        <v>1.35</v>
      </c>
      <c r="V7" s="18" t="n">
        <f aca="false">d_cx_mult</f>
        <v>1.35</v>
      </c>
      <c r="W7" s="18" t="n">
        <f aca="false">d_cx_mult</f>
        <v>1.35</v>
      </c>
      <c r="X7" s="18" t="n">
        <f aca="false">d_cx_mult</f>
        <v>1.35</v>
      </c>
      <c r="Y7" s="18" t="n">
        <f aca="false">d_cx_mult</f>
        <v>1.35</v>
      </c>
      <c r="Z7" s="18" t="n">
        <f aca="false">d_cx_mult</f>
        <v>1.35</v>
      </c>
      <c r="AA7" s="18" t="n">
        <f aca="false">d_cx_mult</f>
        <v>1.35</v>
      </c>
      <c r="AB7" s="18" t="n">
        <f aca="false">d_cx_mult</f>
        <v>1.35</v>
      </c>
    </row>
    <row r="8" customFormat="false" ht="15" hidden="false" customHeight="false" outlineLevel="0" collapsed="false">
      <c r="A8" s="0" t="s">
        <v>295</v>
      </c>
      <c r="B8" s="18" t="n">
        <f aca="false">d_cpi_mult</f>
        <v>1.35</v>
      </c>
      <c r="C8" s="18" t="n">
        <f aca="false">d_cpi_mult</f>
        <v>1.35</v>
      </c>
      <c r="D8" s="18" t="n">
        <f aca="false">d_cpi_mult</f>
        <v>1.35</v>
      </c>
      <c r="E8" s="18" t="n">
        <f aca="false">d_cpi_mult</f>
        <v>1.35</v>
      </c>
      <c r="F8" s="18" t="n">
        <f aca="false">d_cpi_mult</f>
        <v>1.35</v>
      </c>
      <c r="G8" s="18" t="n">
        <f aca="false">d_cpi_mult</f>
        <v>1.35</v>
      </c>
      <c r="H8" s="18" t="n">
        <f aca="false">d_cpi_mult</f>
        <v>1.35</v>
      </c>
      <c r="I8" s="19" t="n">
        <f aca="false">d_cpi_mult*(1-swing)</f>
        <v>1.08</v>
      </c>
      <c r="J8" s="19" t="n">
        <f aca="false">d_cpi_mult*(1+swing)</f>
        <v>1.62</v>
      </c>
      <c r="K8" s="18" t="n">
        <f aca="false">d_cpi_mult</f>
        <v>1.35</v>
      </c>
      <c r="L8" s="18" t="n">
        <f aca="false">d_cpi_mult</f>
        <v>1.35</v>
      </c>
      <c r="M8" s="18" t="n">
        <f aca="false">d_cpi_mult</f>
        <v>1.35</v>
      </c>
      <c r="N8" s="18" t="n">
        <f aca="false">d_cpi_mult</f>
        <v>1.35</v>
      </c>
      <c r="O8" s="18" t="n">
        <f aca="false">d_cpi_mult</f>
        <v>1.35</v>
      </c>
      <c r="P8" s="18" t="n">
        <f aca="false">d_cpi_mult</f>
        <v>1.35</v>
      </c>
      <c r="Q8" s="18" t="n">
        <f aca="false">d_cpi_mult</f>
        <v>1.35</v>
      </c>
      <c r="R8" s="18" t="n">
        <f aca="false">d_cpi_mult</f>
        <v>1.35</v>
      </c>
      <c r="S8" s="18" t="n">
        <f aca="false">d_cpi_mult</f>
        <v>1.35</v>
      </c>
      <c r="T8" s="18" t="n">
        <f aca="false">d_cpi_mult</f>
        <v>1.35</v>
      </c>
      <c r="U8" s="18" t="n">
        <f aca="false">d_cpi_mult</f>
        <v>1.35</v>
      </c>
      <c r="V8" s="18" t="n">
        <f aca="false">d_cpi_mult</f>
        <v>1.35</v>
      </c>
      <c r="W8" s="18" t="n">
        <f aca="false">d_cpi_mult</f>
        <v>1.35</v>
      </c>
      <c r="X8" s="18" t="n">
        <f aca="false">d_cpi_mult</f>
        <v>1.35</v>
      </c>
      <c r="Y8" s="18" t="n">
        <f aca="false">d_cpi_mult</f>
        <v>1.35</v>
      </c>
      <c r="Z8" s="18" t="n">
        <f aca="false">d_cpi_mult</f>
        <v>1.35</v>
      </c>
      <c r="AA8" s="18" t="n">
        <f aca="false">d_cpi_mult</f>
        <v>1.35</v>
      </c>
      <c r="AB8" s="18" t="n">
        <f aca="false">d_cpi_mult</f>
        <v>1.35</v>
      </c>
    </row>
    <row r="9" customFormat="false" ht="15" hidden="false" customHeight="false" outlineLevel="0" collapsed="false">
      <c r="A9" s="0" t="s">
        <v>296</v>
      </c>
      <c r="B9" s="18" t="n">
        <f aca="false">d_role_mult</f>
        <v>1.73333333333333</v>
      </c>
      <c r="C9" s="18" t="n">
        <f aca="false">d_role_mult</f>
        <v>1.73333333333333</v>
      </c>
      <c r="D9" s="18" t="n">
        <f aca="false">d_role_mult</f>
        <v>1.73333333333333</v>
      </c>
      <c r="E9" s="18" t="n">
        <f aca="false">d_role_mult</f>
        <v>1.73333333333333</v>
      </c>
      <c r="F9" s="18" t="n">
        <f aca="false">d_role_mult</f>
        <v>1.73333333333333</v>
      </c>
      <c r="G9" s="18" t="n">
        <f aca="false">d_role_mult</f>
        <v>1.73333333333333</v>
      </c>
      <c r="H9" s="18" t="n">
        <f aca="false">d_role_mult</f>
        <v>1.73333333333333</v>
      </c>
      <c r="I9" s="18" t="n">
        <f aca="false">d_role_mult</f>
        <v>1.73333333333333</v>
      </c>
      <c r="J9" s="18" t="n">
        <f aca="false">d_role_mult</f>
        <v>1.73333333333333</v>
      </c>
      <c r="K9" s="19" t="n">
        <f aca="false">d_role_mult*(1-swing)</f>
        <v>1.38666666666667</v>
      </c>
      <c r="L9" s="19" t="n">
        <f aca="false">d_role_mult*(1+swing)</f>
        <v>2.08</v>
      </c>
      <c r="M9" s="18" t="n">
        <f aca="false">d_role_mult</f>
        <v>1.73333333333333</v>
      </c>
      <c r="N9" s="18" t="n">
        <f aca="false">d_role_mult</f>
        <v>1.73333333333333</v>
      </c>
      <c r="O9" s="18" t="n">
        <f aca="false">d_role_mult</f>
        <v>1.73333333333333</v>
      </c>
      <c r="P9" s="18" t="n">
        <f aca="false">d_role_mult</f>
        <v>1.73333333333333</v>
      </c>
      <c r="Q9" s="18" t="n">
        <f aca="false">d_role_mult</f>
        <v>1.73333333333333</v>
      </c>
      <c r="R9" s="18" t="n">
        <f aca="false">d_role_mult</f>
        <v>1.73333333333333</v>
      </c>
      <c r="S9" s="18" t="n">
        <f aca="false">d_role_mult</f>
        <v>1.73333333333333</v>
      </c>
      <c r="T9" s="18" t="n">
        <f aca="false">d_role_mult</f>
        <v>1.73333333333333</v>
      </c>
      <c r="U9" s="18" t="n">
        <f aca="false">d_role_mult</f>
        <v>1.73333333333333</v>
      </c>
      <c r="V9" s="18" t="n">
        <f aca="false">d_role_mult</f>
        <v>1.73333333333333</v>
      </c>
      <c r="W9" s="18" t="n">
        <f aca="false">d_role_mult</f>
        <v>1.73333333333333</v>
      </c>
      <c r="X9" s="18" t="n">
        <f aca="false">d_role_mult</f>
        <v>1.73333333333333</v>
      </c>
      <c r="Y9" s="18" t="n">
        <f aca="false">d_role_mult</f>
        <v>1.73333333333333</v>
      </c>
      <c r="Z9" s="18" t="n">
        <f aca="false">d_role_mult</f>
        <v>1.73333333333333</v>
      </c>
      <c r="AA9" s="18" t="n">
        <f aca="false">d_role_mult</f>
        <v>1.73333333333333</v>
      </c>
      <c r="AB9" s="18" t="n">
        <f aca="false">d_role_mult</f>
        <v>1.73333333333333</v>
      </c>
    </row>
    <row r="10" customFormat="false" ht="15" hidden="false" customHeight="false" outlineLevel="0" collapsed="false">
      <c r="A10" s="0" t="s">
        <v>81</v>
      </c>
      <c r="B10" s="18" t="n">
        <f aca="false">oh_mult</f>
        <v>1.75</v>
      </c>
      <c r="C10" s="18" t="n">
        <f aca="false">oh_mult</f>
        <v>1.75</v>
      </c>
      <c r="D10" s="18" t="n">
        <f aca="false">oh_mult</f>
        <v>1.75</v>
      </c>
      <c r="E10" s="18" t="n">
        <f aca="false">oh_mult</f>
        <v>1.75</v>
      </c>
      <c r="F10" s="18" t="n">
        <f aca="false">oh_mult</f>
        <v>1.75</v>
      </c>
      <c r="G10" s="18" t="n">
        <f aca="false">oh_mult</f>
        <v>1.75</v>
      </c>
      <c r="H10" s="18" t="n">
        <f aca="false">oh_mult</f>
        <v>1.75</v>
      </c>
      <c r="I10" s="18" t="n">
        <f aca="false">oh_mult</f>
        <v>1.75</v>
      </c>
      <c r="J10" s="18" t="n">
        <f aca="false">oh_mult</f>
        <v>1.75</v>
      </c>
      <c r="K10" s="18" t="n">
        <f aca="false">oh_mult</f>
        <v>1.75</v>
      </c>
      <c r="L10" s="18" t="n">
        <f aca="false">oh_mult</f>
        <v>1.75</v>
      </c>
      <c r="M10" s="19" t="n">
        <f aca="false">oh_mult*(1-swing)</f>
        <v>1.4</v>
      </c>
      <c r="N10" s="19" t="n">
        <f aca="false">oh_mult*(1+swing)</f>
        <v>2.1</v>
      </c>
      <c r="O10" s="18" t="n">
        <f aca="false">oh_mult</f>
        <v>1.75</v>
      </c>
      <c r="P10" s="18" t="n">
        <f aca="false">oh_mult</f>
        <v>1.75</v>
      </c>
      <c r="Q10" s="18" t="n">
        <f aca="false">oh_mult</f>
        <v>1.75</v>
      </c>
      <c r="R10" s="18" t="n">
        <f aca="false">oh_mult</f>
        <v>1.75</v>
      </c>
      <c r="S10" s="18" t="n">
        <f aca="false">oh_mult</f>
        <v>1.75</v>
      </c>
      <c r="T10" s="18" t="n">
        <f aca="false">oh_mult</f>
        <v>1.75</v>
      </c>
      <c r="U10" s="18" t="n">
        <f aca="false">oh_mult</f>
        <v>1.75</v>
      </c>
      <c r="V10" s="18" t="n">
        <f aca="false">oh_mult</f>
        <v>1.75</v>
      </c>
      <c r="W10" s="18" t="n">
        <f aca="false">oh_mult</f>
        <v>1.75</v>
      </c>
      <c r="X10" s="18" t="n">
        <f aca="false">oh_mult</f>
        <v>1.75</v>
      </c>
      <c r="Y10" s="18" t="n">
        <f aca="false">oh_mult</f>
        <v>1.75</v>
      </c>
      <c r="Z10" s="18" t="n">
        <f aca="false">oh_mult</f>
        <v>1.75</v>
      </c>
      <c r="AA10" s="18" t="n">
        <f aca="false">oh_mult</f>
        <v>1.75</v>
      </c>
      <c r="AB10" s="18" t="n">
        <f aca="false">oh_mult</f>
        <v>1.75</v>
      </c>
    </row>
    <row r="11" customFormat="false" ht="15" hidden="false" customHeight="false" outlineLevel="0" collapsed="false">
      <c r="A11" s="0" t="s">
        <v>97</v>
      </c>
      <c r="B11" s="18" t="n">
        <f aca="false">os_hours</f>
        <v>87</v>
      </c>
      <c r="C11" s="18" t="n">
        <f aca="false">os_hours</f>
        <v>87</v>
      </c>
      <c r="D11" s="18" t="n">
        <f aca="false">os_hours</f>
        <v>87</v>
      </c>
      <c r="E11" s="18" t="n">
        <f aca="false">os_hours</f>
        <v>87</v>
      </c>
      <c r="F11" s="18" t="n">
        <f aca="false">os_hours</f>
        <v>87</v>
      </c>
      <c r="G11" s="18" t="n">
        <f aca="false">os_hours</f>
        <v>87</v>
      </c>
      <c r="H11" s="18" t="n">
        <f aca="false">os_hours</f>
        <v>87</v>
      </c>
      <c r="I11" s="18" t="n">
        <f aca="false">os_hours</f>
        <v>87</v>
      </c>
      <c r="J11" s="18" t="n">
        <f aca="false">os_hours</f>
        <v>87</v>
      </c>
      <c r="K11" s="18" t="n">
        <f aca="false">os_hours</f>
        <v>87</v>
      </c>
      <c r="L11" s="18" t="n">
        <f aca="false">os_hours</f>
        <v>87</v>
      </c>
      <c r="M11" s="18" t="n">
        <f aca="false">os_hours</f>
        <v>87</v>
      </c>
      <c r="N11" s="18" t="n">
        <f aca="false">os_hours</f>
        <v>87</v>
      </c>
      <c r="O11" s="19" t="n">
        <f aca="false">os_hours*(1-swing)</f>
        <v>69.6</v>
      </c>
      <c r="P11" s="19" t="n">
        <f aca="false">os_hours*(1+swing)</f>
        <v>104.4</v>
      </c>
      <c r="Q11" s="18" t="n">
        <f aca="false">os_hours</f>
        <v>87</v>
      </c>
      <c r="R11" s="18" t="n">
        <f aca="false">os_hours</f>
        <v>87</v>
      </c>
      <c r="S11" s="18" t="n">
        <f aca="false">os_hours</f>
        <v>87</v>
      </c>
      <c r="T11" s="18" t="n">
        <f aca="false">os_hours</f>
        <v>87</v>
      </c>
      <c r="U11" s="18" t="n">
        <f aca="false">os_hours</f>
        <v>87</v>
      </c>
      <c r="V11" s="18" t="n">
        <f aca="false">os_hours</f>
        <v>87</v>
      </c>
      <c r="W11" s="18" t="n">
        <f aca="false">os_hours</f>
        <v>87</v>
      </c>
      <c r="X11" s="18" t="n">
        <f aca="false">os_hours</f>
        <v>87</v>
      </c>
      <c r="Y11" s="18" t="n">
        <f aca="false">os_hours</f>
        <v>87</v>
      </c>
      <c r="Z11" s="18" t="n">
        <f aca="false">os_hours</f>
        <v>87</v>
      </c>
      <c r="AA11" s="18" t="n">
        <f aca="false">os_hours</f>
        <v>87</v>
      </c>
      <c r="AB11" s="18" t="n">
        <f aca="false">os_hours</f>
        <v>87</v>
      </c>
    </row>
    <row r="12" customFormat="false" ht="15" hidden="false" customHeight="false" outlineLevel="0" collapsed="false">
      <c r="A12" s="0" t="s">
        <v>106</v>
      </c>
      <c r="B12" s="18" t="n">
        <f aca="false">os_wage</f>
        <v>51</v>
      </c>
      <c r="C12" s="18" t="n">
        <f aca="false">os_wage</f>
        <v>51</v>
      </c>
      <c r="D12" s="18" t="n">
        <f aca="false">os_wage</f>
        <v>51</v>
      </c>
      <c r="E12" s="18" t="n">
        <f aca="false">os_wage</f>
        <v>51</v>
      </c>
      <c r="F12" s="18" t="n">
        <f aca="false">os_wage</f>
        <v>51</v>
      </c>
      <c r="G12" s="18" t="n">
        <f aca="false">os_wage</f>
        <v>51</v>
      </c>
      <c r="H12" s="18" t="n">
        <f aca="false">os_wage</f>
        <v>51</v>
      </c>
      <c r="I12" s="18" t="n">
        <f aca="false">os_wage</f>
        <v>51</v>
      </c>
      <c r="J12" s="18" t="n">
        <f aca="false">os_wage</f>
        <v>51</v>
      </c>
      <c r="K12" s="18" t="n">
        <f aca="false">os_wage</f>
        <v>51</v>
      </c>
      <c r="L12" s="18" t="n">
        <f aca="false">os_wage</f>
        <v>51</v>
      </c>
      <c r="M12" s="18" t="n">
        <f aca="false">os_wage</f>
        <v>51</v>
      </c>
      <c r="N12" s="18" t="n">
        <f aca="false">os_wage</f>
        <v>51</v>
      </c>
      <c r="O12" s="18" t="n">
        <f aca="false">os_wage</f>
        <v>51</v>
      </c>
      <c r="P12" s="18" t="n">
        <f aca="false">os_wage</f>
        <v>51</v>
      </c>
      <c r="Q12" s="19" t="n">
        <f aca="false">os_wage*(1-swing)</f>
        <v>40.8</v>
      </c>
      <c r="R12" s="19" t="n">
        <f aca="false">os_wage*(1+swing)</f>
        <v>61.2</v>
      </c>
      <c r="S12" s="18" t="n">
        <f aca="false">os_wage</f>
        <v>51</v>
      </c>
      <c r="T12" s="18" t="n">
        <f aca="false">os_wage</f>
        <v>51</v>
      </c>
      <c r="U12" s="18" t="n">
        <f aca="false">os_wage</f>
        <v>51</v>
      </c>
      <c r="V12" s="18" t="n">
        <f aca="false">os_wage</f>
        <v>51</v>
      </c>
      <c r="W12" s="18" t="n">
        <f aca="false">os_wage</f>
        <v>51</v>
      </c>
      <c r="X12" s="18" t="n">
        <f aca="false">os_wage</f>
        <v>51</v>
      </c>
      <c r="Y12" s="18" t="n">
        <f aca="false">os_wage</f>
        <v>51</v>
      </c>
      <c r="Z12" s="18" t="n">
        <f aca="false">os_wage</f>
        <v>51</v>
      </c>
      <c r="AA12" s="18" t="n">
        <f aca="false">os_wage</f>
        <v>51</v>
      </c>
      <c r="AB12" s="18" t="n">
        <f aca="false">os_wage</f>
        <v>51</v>
      </c>
    </row>
    <row r="13" customFormat="false" ht="15" hidden="false" customHeight="false" outlineLevel="0" collapsed="false">
      <c r="A13" s="0" t="s">
        <v>104</v>
      </c>
      <c r="B13" s="18" t="n">
        <f aca="false">os_workers</f>
        <v>14300000</v>
      </c>
      <c r="C13" s="18" t="n">
        <f aca="false">os_workers</f>
        <v>14300000</v>
      </c>
      <c r="D13" s="18" t="n">
        <f aca="false">os_workers</f>
        <v>14300000</v>
      </c>
      <c r="E13" s="18" t="n">
        <f aca="false">os_workers</f>
        <v>14300000</v>
      </c>
      <c r="F13" s="18" t="n">
        <f aca="false">os_workers</f>
        <v>14300000</v>
      </c>
      <c r="G13" s="18" t="n">
        <f aca="false">os_workers</f>
        <v>14300000</v>
      </c>
      <c r="H13" s="18" t="n">
        <f aca="false">os_workers</f>
        <v>14300000</v>
      </c>
      <c r="I13" s="18" t="n">
        <f aca="false">os_workers</f>
        <v>14300000</v>
      </c>
      <c r="J13" s="18" t="n">
        <f aca="false">os_workers</f>
        <v>14300000</v>
      </c>
      <c r="K13" s="18" t="n">
        <f aca="false">os_workers</f>
        <v>14300000</v>
      </c>
      <c r="L13" s="18" t="n">
        <f aca="false">os_workers</f>
        <v>14300000</v>
      </c>
      <c r="M13" s="18" t="n">
        <f aca="false">os_workers</f>
        <v>14300000</v>
      </c>
      <c r="N13" s="18" t="n">
        <f aca="false">os_workers</f>
        <v>14300000</v>
      </c>
      <c r="O13" s="18" t="n">
        <f aca="false">os_workers</f>
        <v>14300000</v>
      </c>
      <c r="P13" s="18" t="n">
        <f aca="false">os_workers</f>
        <v>14300000</v>
      </c>
      <c r="Q13" s="18" t="n">
        <f aca="false">os_workers</f>
        <v>14300000</v>
      </c>
      <c r="R13" s="18" t="n">
        <f aca="false">os_workers</f>
        <v>14300000</v>
      </c>
      <c r="S13" s="19" t="n">
        <f aca="false">os_workers*(1-swing)</f>
        <v>11440000</v>
      </c>
      <c r="T13" s="19" t="n">
        <f aca="false">os_workers*(1+swing)</f>
        <v>17160000</v>
      </c>
      <c r="U13" s="18" t="n">
        <f aca="false">os_workers</f>
        <v>14300000</v>
      </c>
      <c r="V13" s="18" t="n">
        <f aca="false">os_workers</f>
        <v>14300000</v>
      </c>
      <c r="W13" s="18" t="n">
        <f aca="false">os_workers</f>
        <v>14300000</v>
      </c>
      <c r="X13" s="18" t="n">
        <f aca="false">os_workers</f>
        <v>14300000</v>
      </c>
      <c r="Y13" s="18" t="n">
        <f aca="false">os_workers</f>
        <v>14300000</v>
      </c>
      <c r="Z13" s="18" t="n">
        <f aca="false">os_workers</f>
        <v>14300000</v>
      </c>
      <c r="AA13" s="18" t="n">
        <f aca="false">os_workers</f>
        <v>14300000</v>
      </c>
      <c r="AB13" s="18" t="n">
        <f aca="false">os_workers</f>
        <v>14300000</v>
      </c>
    </row>
    <row r="14" customFormat="false" ht="15" hidden="false" customHeight="false" outlineLevel="0" collapsed="false">
      <c r="A14" s="0" t="s">
        <v>112</v>
      </c>
      <c r="B14" s="18" t="n">
        <f aca="false">it_share</f>
        <v>0.3</v>
      </c>
      <c r="C14" s="18" t="n">
        <f aca="false">it_share</f>
        <v>0.3</v>
      </c>
      <c r="D14" s="18" t="n">
        <f aca="false">it_share</f>
        <v>0.3</v>
      </c>
      <c r="E14" s="18" t="n">
        <f aca="false">it_share</f>
        <v>0.3</v>
      </c>
      <c r="F14" s="18" t="n">
        <f aca="false">it_share</f>
        <v>0.3</v>
      </c>
      <c r="G14" s="18" t="n">
        <f aca="false">it_share</f>
        <v>0.3</v>
      </c>
      <c r="H14" s="18" t="n">
        <f aca="false">it_share</f>
        <v>0.3</v>
      </c>
      <c r="I14" s="18" t="n">
        <f aca="false">it_share</f>
        <v>0.3</v>
      </c>
      <c r="J14" s="18" t="n">
        <f aca="false">it_share</f>
        <v>0.3</v>
      </c>
      <c r="K14" s="18" t="n">
        <f aca="false">it_share</f>
        <v>0.3</v>
      </c>
      <c r="L14" s="18" t="n">
        <f aca="false">it_share</f>
        <v>0.3</v>
      </c>
      <c r="M14" s="18" t="n">
        <f aca="false">it_share</f>
        <v>0.3</v>
      </c>
      <c r="N14" s="18" t="n">
        <f aca="false">it_share</f>
        <v>0.3</v>
      </c>
      <c r="O14" s="18" t="n">
        <f aca="false">it_share</f>
        <v>0.3</v>
      </c>
      <c r="P14" s="18" t="n">
        <f aca="false">it_share</f>
        <v>0.3</v>
      </c>
      <c r="Q14" s="18" t="n">
        <f aca="false">it_share</f>
        <v>0.3</v>
      </c>
      <c r="R14" s="18" t="n">
        <f aca="false">it_share</f>
        <v>0.3</v>
      </c>
      <c r="S14" s="18" t="n">
        <f aca="false">it_share</f>
        <v>0.3</v>
      </c>
      <c r="T14" s="18" t="n">
        <f aca="false">it_share</f>
        <v>0.3</v>
      </c>
      <c r="U14" s="19" t="n">
        <f aca="false">it_share*(1-swing)</f>
        <v>0.24</v>
      </c>
      <c r="V14" s="19" t="n">
        <f aca="false">it_share*(1+swing)</f>
        <v>0.36</v>
      </c>
      <c r="W14" s="18" t="n">
        <f aca="false">it_share</f>
        <v>0.3</v>
      </c>
      <c r="X14" s="18" t="n">
        <f aca="false">it_share</f>
        <v>0.3</v>
      </c>
      <c r="Y14" s="18" t="n">
        <f aca="false">it_share</f>
        <v>0.3</v>
      </c>
      <c r="Z14" s="18" t="n">
        <f aca="false">it_share</f>
        <v>0.3</v>
      </c>
      <c r="AA14" s="18" t="n">
        <f aca="false">it_share</f>
        <v>0.3</v>
      </c>
      <c r="AB14" s="18" t="n">
        <f aca="false">it_share</f>
        <v>0.3</v>
      </c>
    </row>
    <row r="15" customFormat="false" ht="15" hidden="false" customHeight="false" outlineLevel="0" collapsed="false">
      <c r="A15" s="0" t="s">
        <v>109</v>
      </c>
      <c r="B15" s="18" t="n">
        <f aca="false">it_spend</f>
        <v>135</v>
      </c>
      <c r="C15" s="18" t="n">
        <f aca="false">it_spend</f>
        <v>135</v>
      </c>
      <c r="D15" s="18" t="n">
        <f aca="false">it_spend</f>
        <v>135</v>
      </c>
      <c r="E15" s="18" t="n">
        <f aca="false">it_spend</f>
        <v>135</v>
      </c>
      <c r="F15" s="18" t="n">
        <f aca="false">it_spend</f>
        <v>135</v>
      </c>
      <c r="G15" s="18" t="n">
        <f aca="false">it_spend</f>
        <v>135</v>
      </c>
      <c r="H15" s="18" t="n">
        <f aca="false">it_spend</f>
        <v>135</v>
      </c>
      <c r="I15" s="18" t="n">
        <f aca="false">it_spend</f>
        <v>135</v>
      </c>
      <c r="J15" s="18" t="n">
        <f aca="false">it_spend</f>
        <v>135</v>
      </c>
      <c r="K15" s="18" t="n">
        <f aca="false">it_spend</f>
        <v>135</v>
      </c>
      <c r="L15" s="18" t="n">
        <f aca="false">it_spend</f>
        <v>135</v>
      </c>
      <c r="M15" s="18" t="n">
        <f aca="false">it_spend</f>
        <v>135</v>
      </c>
      <c r="N15" s="18" t="n">
        <f aca="false">it_spend</f>
        <v>135</v>
      </c>
      <c r="O15" s="18" t="n">
        <f aca="false">it_spend</f>
        <v>135</v>
      </c>
      <c r="P15" s="18" t="n">
        <f aca="false">it_spend</f>
        <v>135</v>
      </c>
      <c r="Q15" s="18" t="n">
        <f aca="false">it_spend</f>
        <v>135</v>
      </c>
      <c r="R15" s="18" t="n">
        <f aca="false">it_spend</f>
        <v>135</v>
      </c>
      <c r="S15" s="18" t="n">
        <f aca="false">it_spend</f>
        <v>135</v>
      </c>
      <c r="T15" s="18" t="n">
        <f aca="false">it_spend</f>
        <v>135</v>
      </c>
      <c r="U15" s="18" t="n">
        <f aca="false">it_spend</f>
        <v>135</v>
      </c>
      <c r="V15" s="18" t="n">
        <f aca="false">it_spend</f>
        <v>135</v>
      </c>
      <c r="W15" s="19" t="n">
        <f aca="false">it_spend*(1-swing)</f>
        <v>108</v>
      </c>
      <c r="X15" s="19" t="n">
        <f aca="false">it_spend*(1+swing)</f>
        <v>162</v>
      </c>
      <c r="Y15" s="18" t="n">
        <f aca="false">it_spend</f>
        <v>135</v>
      </c>
      <c r="Z15" s="18" t="n">
        <f aca="false">it_spend</f>
        <v>135</v>
      </c>
      <c r="AA15" s="18" t="n">
        <f aca="false">it_spend</f>
        <v>135</v>
      </c>
      <c r="AB15" s="18" t="n">
        <f aca="false">it_spend</f>
        <v>135</v>
      </c>
    </row>
    <row r="16" customFormat="false" ht="15" hidden="false" customHeight="false" outlineLevel="0" collapsed="false">
      <c r="A16" s="0" t="s">
        <v>129</v>
      </c>
      <c r="B16" s="18" t="n">
        <f aca="false">state_share_gsp</f>
        <v>0.01</v>
      </c>
      <c r="C16" s="18" t="n">
        <f aca="false">state_share_gsp</f>
        <v>0.01</v>
      </c>
      <c r="D16" s="18" t="n">
        <f aca="false">state_share_gsp</f>
        <v>0.01</v>
      </c>
      <c r="E16" s="18" t="n">
        <f aca="false">state_share_gsp</f>
        <v>0.01</v>
      </c>
      <c r="F16" s="18" t="n">
        <f aca="false">state_share_gsp</f>
        <v>0.01</v>
      </c>
      <c r="G16" s="18" t="n">
        <f aca="false">state_share_gsp</f>
        <v>0.01</v>
      </c>
      <c r="H16" s="18" t="n">
        <f aca="false">state_share_gsp</f>
        <v>0.01</v>
      </c>
      <c r="I16" s="18" t="n">
        <f aca="false">state_share_gsp</f>
        <v>0.01</v>
      </c>
      <c r="J16" s="18" t="n">
        <f aca="false">state_share_gsp</f>
        <v>0.01</v>
      </c>
      <c r="K16" s="18" t="n">
        <f aca="false">state_share_gsp</f>
        <v>0.01</v>
      </c>
      <c r="L16" s="18" t="n">
        <f aca="false">state_share_gsp</f>
        <v>0.01</v>
      </c>
      <c r="M16" s="18" t="n">
        <f aca="false">state_share_gsp</f>
        <v>0.01</v>
      </c>
      <c r="N16" s="18" t="n">
        <f aca="false">state_share_gsp</f>
        <v>0.01</v>
      </c>
      <c r="O16" s="18" t="n">
        <f aca="false">state_share_gsp</f>
        <v>0.01</v>
      </c>
      <c r="P16" s="18" t="n">
        <f aca="false">state_share_gsp</f>
        <v>0.01</v>
      </c>
      <c r="Q16" s="18" t="n">
        <f aca="false">state_share_gsp</f>
        <v>0.01</v>
      </c>
      <c r="R16" s="18" t="n">
        <f aca="false">state_share_gsp</f>
        <v>0.01</v>
      </c>
      <c r="S16" s="18" t="n">
        <f aca="false">state_share_gsp</f>
        <v>0.01</v>
      </c>
      <c r="T16" s="18" t="n">
        <f aca="false">state_share_gsp</f>
        <v>0.01</v>
      </c>
      <c r="U16" s="18" t="n">
        <f aca="false">state_share_gsp</f>
        <v>0.01</v>
      </c>
      <c r="V16" s="18" t="n">
        <f aca="false">state_share_gsp</f>
        <v>0.01</v>
      </c>
      <c r="W16" s="18" t="n">
        <f aca="false">state_share_gsp</f>
        <v>0.01</v>
      </c>
      <c r="X16" s="18" t="n">
        <f aca="false">state_share_gsp</f>
        <v>0.01</v>
      </c>
      <c r="Y16" s="19" t="n">
        <f aca="false">state_share_gsp*(1-swing)</f>
        <v>0.008</v>
      </c>
      <c r="Z16" s="19" t="n">
        <f aca="false">state_share_gsp*(1+swing)</f>
        <v>0.012</v>
      </c>
      <c r="AA16" s="18" t="n">
        <f aca="false">state_share_gsp</f>
        <v>0.01</v>
      </c>
      <c r="AB16" s="18" t="n">
        <f aca="false">state_share_gsp</f>
        <v>0.01</v>
      </c>
    </row>
    <row r="17" customFormat="false" ht="15" hidden="false" customHeight="false" outlineLevel="0" collapsed="false">
      <c r="A17" s="0" t="s">
        <v>71</v>
      </c>
      <c r="B17" s="18" t="n">
        <f aca="false">cw_workers</f>
        <v>52000</v>
      </c>
      <c r="C17" s="18" t="n">
        <f aca="false">cw_workers</f>
        <v>52000</v>
      </c>
      <c r="D17" s="18" t="n">
        <f aca="false">cw_workers</f>
        <v>52000</v>
      </c>
      <c r="E17" s="18" t="n">
        <f aca="false">cw_workers</f>
        <v>52000</v>
      </c>
      <c r="F17" s="18" t="n">
        <f aca="false">cw_workers</f>
        <v>52000</v>
      </c>
      <c r="G17" s="18" t="n">
        <f aca="false">cw_workers</f>
        <v>52000</v>
      </c>
      <c r="H17" s="18" t="n">
        <f aca="false">cw_workers</f>
        <v>52000</v>
      </c>
      <c r="I17" s="18" t="n">
        <f aca="false">cw_workers</f>
        <v>52000</v>
      </c>
      <c r="J17" s="18" t="n">
        <f aca="false">cw_workers</f>
        <v>52000</v>
      </c>
      <c r="K17" s="18" t="n">
        <f aca="false">cw_workers</f>
        <v>52000</v>
      </c>
      <c r="L17" s="18" t="n">
        <f aca="false">cw_workers</f>
        <v>52000</v>
      </c>
      <c r="M17" s="18" t="n">
        <f aca="false">cw_workers</f>
        <v>52000</v>
      </c>
      <c r="N17" s="18" t="n">
        <f aca="false">cw_workers</f>
        <v>52000</v>
      </c>
      <c r="O17" s="18" t="n">
        <f aca="false">cw_workers</f>
        <v>52000</v>
      </c>
      <c r="P17" s="18" t="n">
        <f aca="false">cw_workers</f>
        <v>52000</v>
      </c>
      <c r="Q17" s="18" t="n">
        <f aca="false">cw_workers</f>
        <v>52000</v>
      </c>
      <c r="R17" s="18" t="n">
        <f aca="false">cw_workers</f>
        <v>52000</v>
      </c>
      <c r="S17" s="18" t="n">
        <f aca="false">cw_workers</f>
        <v>52000</v>
      </c>
      <c r="T17" s="18" t="n">
        <f aca="false">cw_workers</f>
        <v>52000</v>
      </c>
      <c r="U17" s="18" t="n">
        <f aca="false">cw_workers</f>
        <v>52000</v>
      </c>
      <c r="V17" s="18" t="n">
        <f aca="false">cw_workers</f>
        <v>52000</v>
      </c>
      <c r="W17" s="18" t="n">
        <f aca="false">cw_workers</f>
        <v>52000</v>
      </c>
      <c r="X17" s="18" t="n">
        <f aca="false">cw_workers</f>
        <v>52000</v>
      </c>
      <c r="Y17" s="18" t="n">
        <f aca="false">cw_workers</f>
        <v>52000</v>
      </c>
      <c r="Z17" s="18" t="n">
        <f aca="false">cw_workers</f>
        <v>52000</v>
      </c>
      <c r="AA17" s="19" t="n">
        <f aca="false">cw_workers*(1-swing)</f>
        <v>41600</v>
      </c>
      <c r="AB17" s="19" t="n">
        <f aca="false">cw_workers*(1+swing)</f>
        <v>62400</v>
      </c>
    </row>
    <row r="19" customFormat="false" ht="15" hidden="false" customHeight="false" outlineLevel="0" collapsed="false">
      <c r="A19" s="9" t="s">
        <v>258</v>
      </c>
      <c r="B19" s="10" t="n">
        <f aca="false">B4*gdp_2024*B6*B7</f>
        <v>190.4056875</v>
      </c>
      <c r="C19" s="10" t="n">
        <f aca="false">C4*gdp_2024*C6*C7</f>
        <v>152.32455</v>
      </c>
      <c r="D19" s="10" t="n">
        <f aca="false">D4*gdp_2024*D6*D7</f>
        <v>228.486825</v>
      </c>
      <c r="E19" s="10" t="n">
        <f aca="false">E4*gdp_2024*E6*E7</f>
        <v>152.32455</v>
      </c>
      <c r="F19" s="10" t="n">
        <f aca="false">F4*gdp_2024*F6*F7</f>
        <v>228.486825</v>
      </c>
      <c r="G19" s="10" t="n">
        <f aca="false">G4*gdp_2024*G6*G7</f>
        <v>152.32455</v>
      </c>
      <c r="H19" s="10" t="n">
        <f aca="false">H4*gdp_2024*H6*H7</f>
        <v>228.486825</v>
      </c>
      <c r="I19" s="10" t="n">
        <f aca="false">I4*gdp_2024*I6*I7</f>
        <v>190.4056875</v>
      </c>
      <c r="J19" s="10" t="n">
        <f aca="false">J4*gdp_2024*J6*J7</f>
        <v>190.4056875</v>
      </c>
      <c r="K19" s="10" t="n">
        <f aca="false">K4*gdp_2024*K6*K7</f>
        <v>190.4056875</v>
      </c>
      <c r="L19" s="10" t="n">
        <f aca="false">L4*gdp_2024*L6*L7</f>
        <v>190.4056875</v>
      </c>
      <c r="M19" s="10" t="n">
        <f aca="false">M4*gdp_2024*M6*M7</f>
        <v>190.4056875</v>
      </c>
      <c r="N19" s="10" t="n">
        <f aca="false">N4*gdp_2024*N6*N7</f>
        <v>190.4056875</v>
      </c>
      <c r="O19" s="10" t="n">
        <f aca="false">O4*gdp_2024*O6*O7</f>
        <v>190.4056875</v>
      </c>
      <c r="P19" s="10" t="n">
        <f aca="false">P4*gdp_2024*P6*P7</f>
        <v>190.4056875</v>
      </c>
      <c r="Q19" s="10" t="n">
        <f aca="false">Q4*gdp_2024*Q6*Q7</f>
        <v>190.4056875</v>
      </c>
      <c r="R19" s="10" t="n">
        <f aca="false">R4*gdp_2024*R6*R7</f>
        <v>190.4056875</v>
      </c>
      <c r="S19" s="10" t="n">
        <f aca="false">S4*gdp_2024*S6*S7</f>
        <v>190.4056875</v>
      </c>
      <c r="T19" s="10" t="n">
        <f aca="false">T4*gdp_2024*T6*T7</f>
        <v>190.4056875</v>
      </c>
      <c r="U19" s="10" t="n">
        <f aca="false">U4*gdp_2024*U6*U7</f>
        <v>190.4056875</v>
      </c>
      <c r="V19" s="10" t="n">
        <f aca="false">V4*gdp_2024*V6*V7</f>
        <v>190.4056875</v>
      </c>
      <c r="W19" s="10" t="n">
        <f aca="false">W4*gdp_2024*W6*W7</f>
        <v>190.4056875</v>
      </c>
      <c r="X19" s="10" t="n">
        <f aca="false">X4*gdp_2024*X6*X7</f>
        <v>190.4056875</v>
      </c>
      <c r="Y19" s="10" t="n">
        <f aca="false">Y4*gdp_2024*Y6*Y7</f>
        <v>190.4056875</v>
      </c>
      <c r="Z19" s="10" t="n">
        <f aca="false">Z4*gdp_2024*Z6*Z7</f>
        <v>190.4056875</v>
      </c>
      <c r="AA19" s="10" t="n">
        <f aca="false">AA4*gdp_2024*AA6*AA7</f>
        <v>190.4056875</v>
      </c>
      <c r="AB19" s="10" t="n">
        <f aca="false">AB4*gdp_2024*AB6*AB7</f>
        <v>190.4056875</v>
      </c>
    </row>
    <row r="20" customFormat="false" ht="15" hidden="false" customHeight="false" outlineLevel="0" collapsed="false">
      <c r="A20" s="9" t="s">
        <v>259</v>
      </c>
      <c r="B20" s="10" t="n">
        <f aca="false">B5*B8*B9</f>
        <v>152.1</v>
      </c>
      <c r="C20" s="10" t="n">
        <f aca="false">C5*C8*C9</f>
        <v>121.68</v>
      </c>
      <c r="D20" s="10" t="n">
        <f aca="false">D5*D8*D9</f>
        <v>182.52</v>
      </c>
      <c r="E20" s="10" t="n">
        <f aca="false">E5*E8*E9</f>
        <v>152.1</v>
      </c>
      <c r="F20" s="10" t="n">
        <f aca="false">F5*F8*F9</f>
        <v>152.1</v>
      </c>
      <c r="G20" s="10" t="n">
        <f aca="false">G5*G8*G9</f>
        <v>152.1</v>
      </c>
      <c r="H20" s="10" t="n">
        <f aca="false">H5*H8*H9</f>
        <v>152.1</v>
      </c>
      <c r="I20" s="10" t="n">
        <f aca="false">I5*I8*I9</f>
        <v>121.68</v>
      </c>
      <c r="J20" s="10" t="n">
        <f aca="false">J5*J8*J9</f>
        <v>182.52</v>
      </c>
      <c r="K20" s="10" t="n">
        <f aca="false">K5*K8*K9</f>
        <v>121.68</v>
      </c>
      <c r="L20" s="10" t="n">
        <f aca="false">L5*L8*L9</f>
        <v>182.52</v>
      </c>
      <c r="M20" s="10" t="n">
        <f aca="false">M5*M8*M9</f>
        <v>152.1</v>
      </c>
      <c r="N20" s="10" t="n">
        <f aca="false">N5*N8*N9</f>
        <v>152.1</v>
      </c>
      <c r="O20" s="10" t="n">
        <f aca="false">O5*O8*O9</f>
        <v>152.1</v>
      </c>
      <c r="P20" s="10" t="n">
        <f aca="false">P5*P8*P9</f>
        <v>152.1</v>
      </c>
      <c r="Q20" s="10" t="n">
        <f aca="false">Q5*Q8*Q9</f>
        <v>152.1</v>
      </c>
      <c r="R20" s="10" t="n">
        <f aca="false">R5*R8*R9</f>
        <v>152.1</v>
      </c>
      <c r="S20" s="10" t="n">
        <f aca="false">S5*S8*S9</f>
        <v>152.1</v>
      </c>
      <c r="T20" s="10" t="n">
        <f aca="false">T5*T8*T9</f>
        <v>152.1</v>
      </c>
      <c r="U20" s="10" t="n">
        <f aca="false">U5*U8*U9</f>
        <v>152.1</v>
      </c>
      <c r="V20" s="10" t="n">
        <f aca="false">V5*V8*V9</f>
        <v>152.1</v>
      </c>
      <c r="W20" s="10" t="n">
        <f aca="false">W5*W8*W9</f>
        <v>152.1</v>
      </c>
      <c r="X20" s="10" t="n">
        <f aca="false">X5*X8*X9</f>
        <v>152.1</v>
      </c>
      <c r="Y20" s="10" t="n">
        <f aca="false">Y5*Y8*Y9</f>
        <v>152.1</v>
      </c>
      <c r="Z20" s="10" t="n">
        <f aca="false">Z5*Z8*Z9</f>
        <v>152.1</v>
      </c>
      <c r="AA20" s="10" t="n">
        <f aca="false">AA5*AA8*AA9</f>
        <v>152.1</v>
      </c>
      <c r="AB20" s="10" t="n">
        <f aca="false">AB5*AB8*AB9</f>
        <v>152.1</v>
      </c>
    </row>
    <row r="21" customFormat="false" ht="15" hidden="false" customHeight="false" outlineLevel="0" collapsed="false">
      <c r="A21" s="9" t="s">
        <v>260</v>
      </c>
      <c r="B21" s="10" t="n">
        <f aca="false">(B17*fte*cw_salary/1000000000+(il_workers*fte*il_salary*il_share+ia_workers*fte*ia_salary*ia_share)/1000000000+(B11*B13-os_excl)*B12/1000000000)*B10+B15*B14+el_workers*fte*el_rev*el_share/1000000000+ea_fees/ea_div*ea_share-B16*gsp_total</f>
        <v>133.315408253205</v>
      </c>
      <c r="C21" s="10" t="n">
        <f aca="false">(C17*fte*cw_salary/1000000000+(il_workers*fte*il_salary*il_share+ia_workers*fte*ia_salary*ia_share)/1000000000+(C11*C13-os_excl)*C12/1000000000)*C10+C15*C14+el_workers*fte*el_rev*el_share/1000000000+ea_fees/ea_div*ea_share-C16*gsp_total</f>
        <v>133.315408253205</v>
      </c>
      <c r="D21" s="10" t="n">
        <f aca="false">(D17*fte*cw_salary/1000000000+(il_workers*fte*il_salary*il_share+ia_workers*fte*ia_salary*ia_share)/1000000000+(D11*D13-os_excl)*D12/1000000000)*D10+D15*D14+el_workers*fte*el_rev*el_share/1000000000+ea_fees/ea_div*ea_share-D16*gsp_total</f>
        <v>133.315408253205</v>
      </c>
      <c r="E21" s="10" t="n">
        <f aca="false">(E17*fte*cw_salary/1000000000+(il_workers*fte*il_salary*il_share+ia_workers*fte*ia_salary*ia_share)/1000000000+(E11*E13-os_excl)*E12/1000000000)*E10+E15*E14+el_workers*fte*el_rev*el_share/1000000000+ea_fees/ea_div*ea_share-E16*gsp_total</f>
        <v>133.315408253205</v>
      </c>
      <c r="F21" s="10" t="n">
        <f aca="false">(F17*fte*cw_salary/1000000000+(il_workers*fte*il_salary*il_share+ia_workers*fte*ia_salary*ia_share)/1000000000+(F11*F13-os_excl)*F12/1000000000)*F10+F15*F14+el_workers*fte*el_rev*el_share/1000000000+ea_fees/ea_div*ea_share-F16*gsp_total</f>
        <v>133.315408253205</v>
      </c>
      <c r="G21" s="10" t="n">
        <f aca="false">(G17*fte*cw_salary/1000000000+(il_workers*fte*il_salary*il_share+ia_workers*fte*ia_salary*ia_share)/1000000000+(G11*G13-os_excl)*G12/1000000000)*G10+G15*G14+el_workers*fte*el_rev*el_share/1000000000+ea_fees/ea_div*ea_share-G16*gsp_total</f>
        <v>133.315408253205</v>
      </c>
      <c r="H21" s="10" t="n">
        <f aca="false">(H17*fte*cw_salary/1000000000+(il_workers*fte*il_salary*il_share+ia_workers*fte*ia_salary*ia_share)/1000000000+(H11*H13-os_excl)*H12/1000000000)*H10+H15*H14+el_workers*fte*el_rev*el_share/1000000000+ea_fees/ea_div*ea_share-H16*gsp_total</f>
        <v>133.315408253205</v>
      </c>
      <c r="I21" s="10" t="n">
        <f aca="false">(I17*fte*cw_salary/1000000000+(il_workers*fte*il_salary*il_share+ia_workers*fte*ia_salary*ia_share)/1000000000+(I11*I13-os_excl)*I12/1000000000)*I10+I15*I14+el_workers*fte*el_rev*el_share/1000000000+ea_fees/ea_div*ea_share-I16*gsp_total</f>
        <v>133.315408253205</v>
      </c>
      <c r="J21" s="10" t="n">
        <f aca="false">(J17*fte*cw_salary/1000000000+(il_workers*fte*il_salary*il_share+ia_workers*fte*ia_salary*ia_share)/1000000000+(J11*J13-os_excl)*J12/1000000000)*J10+J15*J14+el_workers*fte*el_rev*el_share/1000000000+ea_fees/ea_div*ea_share-J16*gsp_total</f>
        <v>133.315408253205</v>
      </c>
      <c r="K21" s="10" t="n">
        <f aca="false">(K17*fte*cw_salary/1000000000+(il_workers*fte*il_salary*il_share+ia_workers*fte*ia_salary*ia_share)/1000000000+(K11*K13-os_excl)*K12/1000000000)*K10+K15*K14+el_workers*fte*el_rev*el_share/1000000000+ea_fees/ea_div*ea_share-K16*gsp_total</f>
        <v>133.315408253205</v>
      </c>
      <c r="L21" s="10" t="n">
        <f aca="false">(L17*fte*cw_salary/1000000000+(il_workers*fte*il_salary*il_share+ia_workers*fte*ia_salary*ia_share)/1000000000+(L11*L13-os_excl)*L12/1000000000)*L10+L15*L14+el_workers*fte*el_rev*el_share/1000000000+ea_fees/ea_div*ea_share-L16*gsp_total</f>
        <v>133.315408253205</v>
      </c>
      <c r="M21" s="10" t="n">
        <f aca="false">(M17*fte*cw_salary/1000000000+(il_workers*fte*il_salary*il_share+ia_workers*fte*ia_salary*ia_share)/1000000000+(M11*M13-os_excl)*M12/1000000000)*M10+M15*M14+el_workers*fte*el_rev*el_share/1000000000+ea_fees/ea_div*ea_share-M16*gsp_total</f>
        <v>110.182057628205</v>
      </c>
      <c r="N21" s="10" t="n">
        <f aca="false">(N17*fte*cw_salary/1000000000+(il_workers*fte*il_salary*il_share+ia_workers*fte*ia_salary*ia_share)/1000000000+(N11*N13-os_excl)*N12/1000000000)*N10+N15*N14+el_workers*fte*el_rev*el_share/1000000000+ea_fees/ea_div*ea_share-N16*gsp_total</f>
        <v>156.448758878205</v>
      </c>
      <c r="O21" s="10" t="n">
        <f aca="false">(O17*fte*cw_salary/1000000000+(il_workers*fte*il_salary*il_share+ia_workers*fte*ia_salary*ia_share)/1000000000+(O11*O13-os_excl)*O12/1000000000)*O10+O15*O14+el_workers*fte*el_rev*el_share/1000000000+ea_fees/ea_div*ea_share-O16*gsp_total</f>
        <v>111.108223253205</v>
      </c>
      <c r="P21" s="10" t="n">
        <f aca="false">(P17*fte*cw_salary/1000000000+(il_workers*fte*il_salary*il_share+ia_workers*fte*ia_salary*ia_share)/1000000000+(P11*P13-os_excl)*P12/1000000000)*P10+P15*P14+el_workers*fte*el_rev*el_share/1000000000+ea_fees/ea_div*ea_share-P16*gsp_total</f>
        <v>155.522593253205</v>
      </c>
      <c r="Q21" s="10" t="n">
        <f aca="false">(Q17*fte*cw_salary/1000000000+(il_workers*fte*il_salary*il_share+ia_workers*fte*ia_salary*ia_share)/1000000000+(Q11*Q13-os_excl)*Q12/1000000000)*Q10+Q15*Q14+el_workers*fte*el_rev*el_share/1000000000+ea_fees/ea_div*ea_share-Q16*gsp_total</f>
        <v>112.821823253205</v>
      </c>
      <c r="R21" s="10" t="n">
        <f aca="false">(R17*fte*cw_salary/1000000000+(il_workers*fte*il_salary*il_share+ia_workers*fte*ia_salary*ia_share)/1000000000+(R11*R13-os_excl)*R12/1000000000)*R10+R15*R14+el_workers*fte*el_rev*el_share/1000000000+ea_fees/ea_div*ea_share-R16*gsp_total</f>
        <v>153.808993253205</v>
      </c>
      <c r="S21" s="10" t="n">
        <f aca="false">(S17*fte*cw_salary/1000000000+(il_workers*fte*il_salary*il_share+ia_workers*fte*ia_salary*ia_share)/1000000000+(S11*S13-os_excl)*S12/1000000000)*S10+S15*S14+el_workers*fte*el_rev*el_share/1000000000+ea_fees/ea_div*ea_share-S16*gsp_total</f>
        <v>111.108223253205</v>
      </c>
      <c r="T21" s="10" t="n">
        <f aca="false">(T17*fte*cw_salary/1000000000+(il_workers*fte*il_salary*il_share+ia_workers*fte*ia_salary*ia_share)/1000000000+(T11*T13-os_excl)*T12/1000000000)*T10+T15*T14+el_workers*fte*el_rev*el_share/1000000000+ea_fees/ea_div*ea_share-T16*gsp_total</f>
        <v>155.522593253205</v>
      </c>
      <c r="U21" s="10" t="n">
        <f aca="false">(U17*fte*cw_salary/1000000000+(il_workers*fte*il_salary*il_share+ia_workers*fte*ia_salary*ia_share)/1000000000+(U11*U13-os_excl)*U12/1000000000)*U10+U15*U14+el_workers*fte*el_rev*el_share/1000000000+ea_fees/ea_div*ea_share-U16*gsp_total</f>
        <v>125.215408253205</v>
      </c>
      <c r="V21" s="10" t="n">
        <f aca="false">(V17*fte*cw_salary/1000000000+(il_workers*fte*il_salary*il_share+ia_workers*fte*ia_salary*ia_share)/1000000000+(V11*V13-os_excl)*V12/1000000000)*V10+V15*V14+el_workers*fte*el_rev*el_share/1000000000+ea_fees/ea_div*ea_share-V16*gsp_total</f>
        <v>141.415408253205</v>
      </c>
      <c r="W21" s="10" t="n">
        <f aca="false">(W17*fte*cw_salary/1000000000+(il_workers*fte*il_salary*il_share+ia_workers*fte*ia_salary*ia_share)/1000000000+(W11*W13-os_excl)*W12/1000000000)*W10+W15*W14+el_workers*fte*el_rev*el_share/1000000000+ea_fees/ea_div*ea_share-W16*gsp_total</f>
        <v>125.215408253205</v>
      </c>
      <c r="X21" s="10" t="n">
        <f aca="false">(X17*fte*cw_salary/1000000000+(il_workers*fte*il_salary*il_share+ia_workers*fte*ia_salary*ia_share)/1000000000+(X11*X13-os_excl)*X12/1000000000)*X10+X15*X14+el_workers*fte*el_rev*el_share/1000000000+ea_fees/ea_div*ea_share-X16*gsp_total</f>
        <v>141.415408253205</v>
      </c>
      <c r="Y21" s="10" t="n">
        <f aca="false">(Y17*fte*cw_salary/1000000000+(il_workers*fte*il_salary*il_share+ia_workers*fte*ia_salary*ia_share)/1000000000+(Y11*Y13-os_excl)*Y12/1000000000)*Y10+Y15*Y14+el_workers*fte*el_rev*el_share/1000000000+ea_fees/ea_div*ea_share-Y16*gsp_total</f>
        <v>138.715408253205</v>
      </c>
      <c r="Z21" s="10" t="n">
        <f aca="false">(Z17*fte*cw_salary/1000000000+(il_workers*fte*il_salary*il_share+ia_workers*fte*ia_salary*ia_share)/1000000000+(Z11*Z13-os_excl)*Z12/1000000000)*Z10+Z15*Z14+el_workers*fte*el_rev*el_share/1000000000+ea_fees/ea_div*ea_share-Z16*gsp_total</f>
        <v>127.915408253205</v>
      </c>
      <c r="AA21" s="10" t="n">
        <f aca="false">(AA17*fte*cw_salary/1000000000+(il_workers*fte*il_salary*il_share+ia_workers*fte*ia_salary*ia_share)/1000000000+(AA11*AA13-os_excl)*AA12/1000000000)*AA10+AA15*AA14+el_workers*fte*el_rev*el_share/1000000000+ea_fees/ea_div*ea_share-AA16*gsp_total</f>
        <v>131.336158253205</v>
      </c>
      <c r="AB21" s="10" t="n">
        <f aca="false">(AB17*fte*cw_salary/1000000000+(il_workers*fte*il_salary*il_share+ia_workers*fte*ia_salary*ia_share)/1000000000+(AB11*AB13-os_excl)*AB12/1000000000)*AB10+AB15*AB14+el_workers*fte*el_rev*el_share/1000000000+ea_fees/ea_div*ea_share-AB16*gsp_total</f>
        <v>135.294658253205</v>
      </c>
    </row>
    <row r="22" customFormat="false" ht="15" hidden="false" customHeight="false" outlineLevel="0" collapsed="false">
      <c r="A22" s="9" t="s">
        <v>192</v>
      </c>
      <c r="B22" s="12" t="n">
        <f aca="false">AVERAGE(B19:B21)</f>
        <v>158.607031917735</v>
      </c>
      <c r="C22" s="12" t="n">
        <f aca="false">AVERAGE(C19:C21)</f>
        <v>135.773319417735</v>
      </c>
      <c r="D22" s="12" t="n">
        <f aca="false">AVERAGE(D19:D21)</f>
        <v>181.440744417735</v>
      </c>
      <c r="E22" s="12" t="n">
        <f aca="false">AVERAGE(E19:E21)</f>
        <v>145.913319417735</v>
      </c>
      <c r="F22" s="12" t="n">
        <f aca="false">AVERAGE(F19:F21)</f>
        <v>171.300744417735</v>
      </c>
      <c r="G22" s="12" t="n">
        <f aca="false">AVERAGE(G19:G21)</f>
        <v>145.913319417735</v>
      </c>
      <c r="H22" s="12" t="n">
        <f aca="false">AVERAGE(H19:H21)</f>
        <v>171.300744417735</v>
      </c>
      <c r="I22" s="12" t="n">
        <f aca="false">AVERAGE(I19:I21)</f>
        <v>148.467031917735</v>
      </c>
      <c r="J22" s="12" t="n">
        <f aca="false">AVERAGE(J19:J21)</f>
        <v>168.747031917735</v>
      </c>
      <c r="K22" s="12" t="n">
        <f aca="false">AVERAGE(K19:K21)</f>
        <v>148.467031917735</v>
      </c>
      <c r="L22" s="12" t="n">
        <f aca="false">AVERAGE(L19:L21)</f>
        <v>168.747031917735</v>
      </c>
      <c r="M22" s="12" t="n">
        <f aca="false">AVERAGE(M19:M21)</f>
        <v>150.895915042735</v>
      </c>
      <c r="N22" s="12" t="n">
        <f aca="false">AVERAGE(N19:N21)</f>
        <v>166.318148792735</v>
      </c>
      <c r="O22" s="12" t="n">
        <f aca="false">AVERAGE(O19:O21)</f>
        <v>151.204636917735</v>
      </c>
      <c r="P22" s="12" t="n">
        <f aca="false">AVERAGE(P19:P21)</f>
        <v>166.009426917735</v>
      </c>
      <c r="Q22" s="12" t="n">
        <f aca="false">AVERAGE(Q19:Q21)</f>
        <v>151.775836917735</v>
      </c>
      <c r="R22" s="12" t="n">
        <f aca="false">AVERAGE(R19:R21)</f>
        <v>165.438226917735</v>
      </c>
      <c r="S22" s="12" t="n">
        <f aca="false">AVERAGE(S19:S21)</f>
        <v>151.204636917735</v>
      </c>
      <c r="T22" s="12" t="n">
        <f aca="false">AVERAGE(T19:T21)</f>
        <v>166.009426917735</v>
      </c>
      <c r="U22" s="12" t="n">
        <f aca="false">AVERAGE(U19:U21)</f>
        <v>155.907031917735</v>
      </c>
      <c r="V22" s="12" t="n">
        <f aca="false">AVERAGE(V19:V21)</f>
        <v>161.307031917735</v>
      </c>
      <c r="W22" s="12" t="n">
        <f aca="false">AVERAGE(W19:W21)</f>
        <v>155.907031917735</v>
      </c>
      <c r="X22" s="12" t="n">
        <f aca="false">AVERAGE(X19:X21)</f>
        <v>161.307031917735</v>
      </c>
      <c r="Y22" s="12" t="n">
        <f aca="false">AVERAGE(Y19:Y21)</f>
        <v>160.407031917735</v>
      </c>
      <c r="Z22" s="12" t="n">
        <f aca="false">AVERAGE(Z19:Z21)</f>
        <v>156.807031917735</v>
      </c>
      <c r="AA22" s="12" t="n">
        <f aca="false">AVERAGE(AA19:AA21)</f>
        <v>157.947281917735</v>
      </c>
      <c r="AB22" s="12" t="n">
        <f aca="false">AVERAGE(AB19:AB21)</f>
        <v>159.266781917735</v>
      </c>
    </row>
    <row r="25" customFormat="false" ht="15" hidden="false" customHeight="false" outlineLevel="0" collapsed="false">
      <c r="A25" s="3" t="s">
        <v>297</v>
      </c>
      <c r="B25" s="3" t="s">
        <v>298</v>
      </c>
      <c r="C25" s="3" t="s">
        <v>299</v>
      </c>
      <c r="D25" s="3" t="s">
        <v>300</v>
      </c>
      <c r="E25" s="3" t="s">
        <v>301</v>
      </c>
    </row>
    <row r="26" customFormat="false" ht="15" hidden="false" customHeight="false" outlineLevel="0" collapsed="false">
      <c r="A26" s="0" t="s">
        <v>302</v>
      </c>
      <c r="B26" s="10" t="n">
        <f aca="false">C22</f>
        <v>135.773319417735</v>
      </c>
      <c r="C26" s="10" t="n">
        <f aca="false">D22</f>
        <v>181.440744417735</v>
      </c>
      <c r="D26" s="10" t="n">
        <f aca="false">ABS(C26-B26)</f>
        <v>45.667425</v>
      </c>
      <c r="E26" s="13" t="n">
        <f aca="false">((C26-B26)/B22)/(2*swing)</f>
        <v>0.719820307583942</v>
      </c>
    </row>
    <row r="27" customFormat="false" ht="15" hidden="false" customHeight="false" outlineLevel="0" collapsed="false">
      <c r="A27" s="0" t="s">
        <v>303</v>
      </c>
      <c r="B27" s="10" t="n">
        <f aca="false">E22</f>
        <v>145.913319417735</v>
      </c>
      <c r="C27" s="10" t="n">
        <f aca="false">F22</f>
        <v>171.300744417735</v>
      </c>
      <c r="D27" s="10" t="n">
        <f aca="false">ABS(C27-B27)</f>
        <v>25.387425</v>
      </c>
      <c r="E27" s="13" t="n">
        <f aca="false">((C27-B27)/B22)/(2*swing)</f>
        <v>0.400162349251447</v>
      </c>
    </row>
    <row r="28" customFormat="false" ht="15" hidden="false" customHeight="false" outlineLevel="0" collapsed="false">
      <c r="A28" s="0" t="s">
        <v>304</v>
      </c>
      <c r="B28" s="10" t="n">
        <f aca="false">G22</f>
        <v>145.913319417735</v>
      </c>
      <c r="C28" s="10" t="n">
        <f aca="false">H22</f>
        <v>171.300744417735</v>
      </c>
      <c r="D28" s="10" t="n">
        <f aca="false">ABS(C28-B28)</f>
        <v>25.387425</v>
      </c>
      <c r="E28" s="13" t="n">
        <f aca="false">((C28-B28)/B22)/(2*swing)</f>
        <v>0.400162349251447</v>
      </c>
    </row>
    <row r="29" customFormat="false" ht="15" hidden="false" customHeight="false" outlineLevel="0" collapsed="false">
      <c r="A29" s="0" t="s">
        <v>305</v>
      </c>
      <c r="B29" s="10" t="n">
        <f aca="false">I22</f>
        <v>148.467031917735</v>
      </c>
      <c r="C29" s="10" t="n">
        <f aca="false">J22</f>
        <v>168.747031917735</v>
      </c>
      <c r="D29" s="10" t="n">
        <f aca="false">ABS(C29-B29)</f>
        <v>20.28</v>
      </c>
      <c r="E29" s="13" t="n">
        <f aca="false">((C29-B29)/B22)/(2*swing)</f>
        <v>0.319657958332495</v>
      </c>
    </row>
    <row r="30" customFormat="false" ht="15" hidden="false" customHeight="false" outlineLevel="0" collapsed="false">
      <c r="A30" s="0" t="s">
        <v>306</v>
      </c>
      <c r="B30" s="10" t="n">
        <f aca="false">K22</f>
        <v>148.467031917735</v>
      </c>
      <c r="C30" s="10" t="n">
        <f aca="false">L22</f>
        <v>168.747031917735</v>
      </c>
      <c r="D30" s="10" t="n">
        <f aca="false">ABS(C30-B30)</f>
        <v>20.28</v>
      </c>
      <c r="E30" s="13" t="n">
        <f aca="false">((C30-B30)/B22)/(2*swing)</f>
        <v>0.319657958332495</v>
      </c>
    </row>
    <row r="31" customFormat="false" ht="15" hidden="false" customHeight="false" outlineLevel="0" collapsed="false">
      <c r="A31" s="0" t="s">
        <v>307</v>
      </c>
      <c r="B31" s="10" t="n">
        <f aca="false">M22</f>
        <v>150.895915042735</v>
      </c>
      <c r="C31" s="10" t="n">
        <f aca="false">N22</f>
        <v>166.318148792735</v>
      </c>
      <c r="D31" s="10" t="n">
        <f aca="false">ABS(C31-B31)</f>
        <v>15.42223375</v>
      </c>
      <c r="E31" s="13" t="n">
        <f aca="false">((C31-B31)/B22)/(2*swing)</f>
        <v>0.243088745239226</v>
      </c>
    </row>
    <row r="32" customFormat="false" ht="15" hidden="false" customHeight="false" outlineLevel="0" collapsed="false">
      <c r="A32" s="0" t="s">
        <v>308</v>
      </c>
      <c r="B32" s="10" t="n">
        <f aca="false">O22</f>
        <v>151.204636917735</v>
      </c>
      <c r="C32" s="10" t="n">
        <f aca="false">P22</f>
        <v>166.009426917735</v>
      </c>
      <c r="D32" s="10" t="n">
        <f aca="false">ABS(C32-B32)</f>
        <v>14.80479</v>
      </c>
      <c r="E32" s="13" t="n">
        <f aca="false">((C32-B32)/B22)/(2*swing)</f>
        <v>0.233356456851151</v>
      </c>
    </row>
    <row r="33" customFormat="false" ht="15" hidden="false" customHeight="false" outlineLevel="0" collapsed="false">
      <c r="A33" s="0" t="s">
        <v>309</v>
      </c>
      <c r="B33" s="10" t="n">
        <f aca="false">Q22</f>
        <v>151.775836917735</v>
      </c>
      <c r="C33" s="10" t="n">
        <f aca="false">R22</f>
        <v>165.438226917735</v>
      </c>
      <c r="D33" s="10" t="n">
        <f aca="false">ABS(C33-B33)</f>
        <v>13.66239</v>
      </c>
      <c r="E33" s="13" t="n">
        <f aca="false">((C33-B33)/B22)/(2*swing)</f>
        <v>0.215349689020823</v>
      </c>
    </row>
    <row r="34" customFormat="false" ht="15" hidden="false" customHeight="false" outlineLevel="0" collapsed="false">
      <c r="A34" s="0" t="s">
        <v>310</v>
      </c>
      <c r="B34" s="10" t="n">
        <f aca="false">S22</f>
        <v>151.204636917735</v>
      </c>
      <c r="C34" s="10" t="n">
        <f aca="false">T22</f>
        <v>166.009426917735</v>
      </c>
      <c r="D34" s="10" t="n">
        <f aca="false">ABS(C34-B34)</f>
        <v>14.80479</v>
      </c>
      <c r="E34" s="13" t="n">
        <f aca="false">((C34-B34)/B22)/(2*swing)</f>
        <v>0.233356456851151</v>
      </c>
    </row>
    <row r="35" customFormat="false" ht="15" hidden="false" customHeight="false" outlineLevel="0" collapsed="false">
      <c r="A35" s="0" t="s">
        <v>311</v>
      </c>
      <c r="B35" s="10" t="n">
        <f aca="false">U22</f>
        <v>155.907031917735</v>
      </c>
      <c r="C35" s="10" t="n">
        <f aca="false">V22</f>
        <v>161.307031917735</v>
      </c>
      <c r="D35" s="10" t="n">
        <f aca="false">ABS(C35-B35)</f>
        <v>5.40000000000001</v>
      </c>
      <c r="E35" s="13" t="n">
        <f aca="false">((C35-B35)/B22)/(2*swing)</f>
        <v>0.0851160244080608</v>
      </c>
    </row>
    <row r="36" customFormat="false" ht="15" hidden="false" customHeight="false" outlineLevel="0" collapsed="false">
      <c r="A36" s="0" t="s">
        <v>312</v>
      </c>
      <c r="B36" s="10" t="n">
        <f aca="false">W22</f>
        <v>155.907031917735</v>
      </c>
      <c r="C36" s="10" t="n">
        <f aca="false">X22</f>
        <v>161.307031917735</v>
      </c>
      <c r="D36" s="10" t="n">
        <f aca="false">ABS(C36-B36)</f>
        <v>5.40000000000001</v>
      </c>
      <c r="E36" s="13" t="n">
        <f aca="false">((C36-B36)/B22)/(2*swing)</f>
        <v>0.0851160244080608</v>
      </c>
    </row>
    <row r="37" customFormat="false" ht="15" hidden="false" customHeight="false" outlineLevel="0" collapsed="false">
      <c r="A37" s="0" t="s">
        <v>313</v>
      </c>
      <c r="B37" s="10" t="n">
        <f aca="false">Y22</f>
        <v>160.407031917735</v>
      </c>
      <c r="C37" s="10" t="n">
        <f aca="false">Z22</f>
        <v>156.807031917735</v>
      </c>
      <c r="D37" s="10" t="n">
        <f aca="false">ABS(C37-B37)</f>
        <v>3.60000000000002</v>
      </c>
      <c r="E37" s="13" t="n">
        <f aca="false">((C37-B37)/B22)/(2*swing)</f>
        <v>-0.0567440162720408</v>
      </c>
    </row>
    <row r="38" customFormat="false" ht="15" hidden="false" customHeight="false" outlineLevel="0" collapsed="false">
      <c r="A38" s="0" t="s">
        <v>314</v>
      </c>
      <c r="B38" s="10" t="n">
        <f aca="false">AA22</f>
        <v>157.947281917735</v>
      </c>
      <c r="C38" s="10" t="n">
        <f aca="false">AB22</f>
        <v>159.266781917735</v>
      </c>
      <c r="D38" s="10" t="n">
        <f aca="false">ABS(C38-B38)</f>
        <v>1.31949999999998</v>
      </c>
      <c r="E38" s="13" t="n">
        <f aca="false">((C38-B38)/B22)/(2*swing)</f>
        <v>0.0207982581863767</v>
      </c>
    </row>
    <row r="40" customFormat="false" ht="15" hidden="false" customHeight="false" outlineLevel="0" collapsed="false">
      <c r="A40" s="0"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14"/>
  </cols>
  <sheetData>
    <row r="1" customFormat="false" ht="15" hidden="false" customHeight="false" outlineLevel="0" collapsed="false">
      <c r="A1" s="9" t="s">
        <v>316</v>
      </c>
    </row>
    <row r="2" customFormat="false" ht="15" hidden="false" customHeight="false" outlineLevel="0" collapsed="false">
      <c r="A2" s="0" t="s">
        <v>317</v>
      </c>
      <c r="B2" s="10" t="n">
        <f aca="false">reg_coef</f>
        <v>-22.4</v>
      </c>
    </row>
    <row r="3" customFormat="false" ht="15" hidden="false" customHeight="false" outlineLevel="0" collapsed="false">
      <c r="A3" s="0" t="s">
        <v>318</v>
      </c>
      <c r="B3" s="13" t="n">
        <f aca="false">reg_p</f>
        <v>0.09</v>
      </c>
    </row>
    <row r="4" customFormat="false" ht="15" hidden="false" customHeight="false" outlineLevel="0" collapsed="false">
      <c r="A4" s="0" t="s">
        <v>319</v>
      </c>
      <c r="B4" s="11" t="n">
        <f aca="false">NORMSINV(1-reg_p/2)</f>
        <v>1.69539771027214</v>
      </c>
    </row>
    <row r="5" customFormat="false" ht="15" hidden="false" customHeight="false" outlineLevel="0" collapsed="false">
      <c r="A5" s="0" t="s">
        <v>320</v>
      </c>
      <c r="B5" s="13" t="n">
        <f aca="false">ABS(reg_coef)/B4</f>
        <v>13.2122391485385</v>
      </c>
    </row>
    <row r="6" customFormat="false" ht="15" hidden="false" customHeight="false" outlineLevel="0" collapsed="false">
      <c r="A6" s="0" t="s">
        <v>321</v>
      </c>
      <c r="B6" s="10" t="n">
        <f aca="false">reg_coef-1.96*B5</f>
        <v>-48.2959887311354</v>
      </c>
    </row>
    <row r="7" customFormat="false" ht="15" hidden="false" customHeight="false" outlineLevel="0" collapsed="false">
      <c r="A7" s="0" t="s">
        <v>322</v>
      </c>
      <c r="B7" s="10" t="n">
        <f aca="false">reg_coef+1.96*B5</f>
        <v>3.49598873113541</v>
      </c>
    </row>
    <row r="8" customFormat="false" ht="15" hidden="false" customHeight="false" outlineLevel="0" collapsed="false">
      <c r="A8" s="0" t="s">
        <v>323</v>
      </c>
      <c r="B8" s="13" t="n">
        <f aca="false">reg_coef*0.001*100</f>
        <v>-2.24</v>
      </c>
    </row>
    <row r="9" customFormat="false" ht="15" hidden="false" customHeight="false" outlineLevel="0" collapsed="false">
      <c r="A9" s="0" t="s">
        <v>324</v>
      </c>
      <c r="B9" s="13" t="n">
        <f aca="false">B6*0.001*100</f>
        <v>-4.82959887311354</v>
      </c>
    </row>
    <row r="10" customFormat="false" ht="15" hidden="false" customHeight="false" outlineLevel="0" collapsed="false">
      <c r="A10" s="0" t="s">
        <v>325</v>
      </c>
      <c r="B10" s="13" t="n">
        <f aca="false">B7*0.001*100</f>
        <v>0.349598873113541</v>
      </c>
    </row>
    <row r="11" customFormat="false" ht="15" hidden="false" customHeight="false" outlineLevel="0" collapsed="false">
      <c r="A11" s="0" t="s">
        <v>326</v>
      </c>
      <c r="B11" s="10" t="n">
        <f aca="false">reg_foregone</f>
        <v>10.4</v>
      </c>
    </row>
    <row r="12" customFormat="false" ht="15" hidden="false" customHeight="false" outlineLevel="0" collapsed="false">
      <c r="A12" s="0" t="s">
        <v>327</v>
      </c>
      <c r="B12" s="10" t="n">
        <f aca="false">reg_foregone*B6/reg_coef</f>
        <v>22.42313762517</v>
      </c>
    </row>
    <row r="13" customFormat="false" ht="15" hidden="false" customHeight="false" outlineLevel="0" collapsed="false">
      <c r="A13" s="0" t="s">
        <v>328</v>
      </c>
      <c r="B13" s="10" t="n">
        <f aca="false">reg_foregone*B7/reg_coef</f>
        <v>-1.62313762517001</v>
      </c>
    </row>
    <row r="15" customFormat="false" ht="28.35" hidden="false" customHeight="false" outlineLevel="0" collapsed="false">
      <c r="A15" s="2"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2026-10-19T14:35:41Z</dcterms:created>
  <dc:creator>openpyxl</dc:creator>
  <dc:description/>
  <dc:language>en-US</dc:language>
  <cp:lastModifiedBy/>
  <dcterms:modified xsi:type="dcterms:W3CDTF">2026-10-19T14:35:41Z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